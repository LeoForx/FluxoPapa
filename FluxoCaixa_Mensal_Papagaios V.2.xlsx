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leonardoforx/Downloads/Papagaios/"/>
    </mc:Choice>
  </mc:AlternateContent>
  <xr:revisionPtr revIDLastSave="0" documentId="8_{D977428C-59E6-D148-AF94-4EA8DC2453B6}" xr6:coauthVersionLast="47" xr6:coauthVersionMax="47" xr10:uidLastSave="{00000000-0000-0000-0000-000000000000}"/>
  <bookViews>
    <workbookView xWindow="1260" yWindow="600" windowWidth="37140" windowHeight="21000" activeTab="1" xr2:uid="{00000000-000D-0000-FFFF-FFFF00000000}"/>
  </bookViews>
  <sheets>
    <sheet name="Resumo Anual" sheetId="1" r:id="rId1"/>
    <sheet name="Parâmetros" sheetId="2" r:id="rId2"/>
    <sheet name="Cronograma" sheetId="3" r:id="rId3"/>
    <sheet name="Ano 1" sheetId="4" r:id="rId4"/>
    <sheet name="Ano 2" sheetId="5" r:id="rId5"/>
    <sheet name="Ano 3" sheetId="6" r:id="rId6"/>
    <sheet name="Ano 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15" i="7"/>
  <c r="B15" i="7"/>
  <c r="A15" i="7"/>
  <c r="F14" i="7"/>
  <c r="B14" i="7"/>
  <c r="A14" i="7"/>
  <c r="F13" i="7"/>
  <c r="B13" i="7"/>
  <c r="A13" i="7"/>
  <c r="F12" i="7"/>
  <c r="B12" i="7"/>
  <c r="A12" i="7"/>
  <c r="F11" i="7"/>
  <c r="B11" i="7"/>
  <c r="A11" i="7"/>
  <c r="F10" i="7"/>
  <c r="B10" i="7"/>
  <c r="A10" i="7"/>
  <c r="F9" i="7"/>
  <c r="B9" i="7"/>
  <c r="A9" i="7"/>
  <c r="F8" i="7"/>
  <c r="B8" i="7"/>
  <c r="A8" i="7"/>
  <c r="F7" i="7"/>
  <c r="B7" i="7"/>
  <c r="A7" i="7"/>
  <c r="F6" i="7"/>
  <c r="B6" i="7"/>
  <c r="A6" i="7"/>
  <c r="F5" i="7"/>
  <c r="B5" i="7"/>
  <c r="A5" i="7"/>
  <c r="F4" i="7"/>
  <c r="B4" i="7"/>
  <c r="B16" i="7" s="1"/>
  <c r="A4" i="7"/>
  <c r="F15" i="6"/>
  <c r="B15" i="6"/>
  <c r="A15" i="6"/>
  <c r="F14" i="6"/>
  <c r="B14" i="6"/>
  <c r="A14" i="6"/>
  <c r="F13" i="6"/>
  <c r="B13" i="6"/>
  <c r="A13" i="6"/>
  <c r="F12" i="6"/>
  <c r="B12" i="6"/>
  <c r="A12" i="6"/>
  <c r="F11" i="6"/>
  <c r="B11" i="6"/>
  <c r="A11" i="6"/>
  <c r="F10" i="6"/>
  <c r="B10" i="6"/>
  <c r="A10" i="6"/>
  <c r="F9" i="6"/>
  <c r="B9" i="6"/>
  <c r="A9" i="6"/>
  <c r="F8" i="6"/>
  <c r="B8" i="6"/>
  <c r="A8" i="6"/>
  <c r="F7" i="6"/>
  <c r="B7" i="6"/>
  <c r="A7" i="6"/>
  <c r="F6" i="6"/>
  <c r="B6" i="6"/>
  <c r="A6" i="6"/>
  <c r="F5" i="6"/>
  <c r="F16" i="6" s="1"/>
  <c r="B5" i="6"/>
  <c r="A5" i="6"/>
  <c r="F4" i="6"/>
  <c r="B4" i="6"/>
  <c r="B16" i="6" s="1"/>
  <c r="A4" i="6"/>
  <c r="F15" i="5"/>
  <c r="B15" i="5"/>
  <c r="A15" i="5"/>
  <c r="F14" i="5"/>
  <c r="B14" i="5"/>
  <c r="A14" i="5"/>
  <c r="F13" i="5"/>
  <c r="B13" i="5"/>
  <c r="A13" i="5"/>
  <c r="F12" i="5"/>
  <c r="B12" i="5"/>
  <c r="A12" i="5"/>
  <c r="F11" i="5"/>
  <c r="B11" i="5"/>
  <c r="A11" i="5"/>
  <c r="F10" i="5"/>
  <c r="B10" i="5"/>
  <c r="A10" i="5"/>
  <c r="F9" i="5"/>
  <c r="B9" i="5"/>
  <c r="A9" i="5"/>
  <c r="F8" i="5"/>
  <c r="B8" i="5"/>
  <c r="A8" i="5"/>
  <c r="F7" i="5"/>
  <c r="B7" i="5"/>
  <c r="A7" i="5"/>
  <c r="F6" i="5"/>
  <c r="B6" i="5"/>
  <c r="A6" i="5"/>
  <c r="F5" i="5"/>
  <c r="B5" i="5"/>
  <c r="A5" i="5"/>
  <c r="F4" i="5"/>
  <c r="B4" i="5"/>
  <c r="B16" i="5" s="1"/>
  <c r="A4" i="5"/>
  <c r="F15" i="4"/>
  <c r="B15" i="4"/>
  <c r="A15" i="4"/>
  <c r="F14" i="4"/>
  <c r="B14" i="4"/>
  <c r="A14" i="4"/>
  <c r="F13" i="4"/>
  <c r="B13" i="4"/>
  <c r="A13" i="4"/>
  <c r="F12" i="4"/>
  <c r="B12" i="4"/>
  <c r="B16" i="4" s="1"/>
  <c r="A12" i="4"/>
  <c r="F11" i="4"/>
  <c r="B11" i="4"/>
  <c r="A11" i="4"/>
  <c r="F10" i="4"/>
  <c r="B10" i="4"/>
  <c r="A10" i="4"/>
  <c r="F9" i="4"/>
  <c r="B9" i="4"/>
  <c r="A9" i="4"/>
  <c r="F8" i="4"/>
  <c r="B8" i="4"/>
  <c r="A8" i="4"/>
  <c r="F7" i="4"/>
  <c r="B7" i="4"/>
  <c r="A7" i="4"/>
  <c r="F6" i="4"/>
  <c r="B6" i="4"/>
  <c r="A6" i="4"/>
  <c r="F5" i="4"/>
  <c r="B5" i="4"/>
  <c r="A5" i="4"/>
  <c r="F4" i="4"/>
  <c r="D4" i="4"/>
  <c r="B4" i="4"/>
  <c r="A4" i="4"/>
  <c r="F52" i="3"/>
  <c r="E52" i="3"/>
  <c r="D52" i="3"/>
  <c r="J51" i="3"/>
  <c r="G15" i="7" s="1"/>
  <c r="G51" i="3"/>
  <c r="C15" i="7" s="1"/>
  <c r="B51" i="3"/>
  <c r="J50" i="3"/>
  <c r="G50" i="3"/>
  <c r="B50" i="3"/>
  <c r="J49" i="3"/>
  <c r="G13" i="7" s="1"/>
  <c r="G49" i="3"/>
  <c r="B49" i="3"/>
  <c r="K48" i="3"/>
  <c r="J48" i="3"/>
  <c r="G12" i="7" s="1"/>
  <c r="G48" i="3"/>
  <c r="B48" i="3"/>
  <c r="J47" i="3"/>
  <c r="G11" i="7" s="1"/>
  <c r="G47" i="3"/>
  <c r="B47" i="3"/>
  <c r="J46" i="3"/>
  <c r="G10" i="7" s="1"/>
  <c r="G46" i="3"/>
  <c r="C10" i="7" s="1"/>
  <c r="B46" i="3"/>
  <c r="J45" i="3"/>
  <c r="G9" i="7" s="1"/>
  <c r="G45" i="3"/>
  <c r="C9" i="7" s="1"/>
  <c r="B45" i="3"/>
  <c r="J44" i="3"/>
  <c r="G44" i="3"/>
  <c r="B44" i="3"/>
  <c r="J43" i="3"/>
  <c r="G7" i="7" s="1"/>
  <c r="G43" i="3"/>
  <c r="C7" i="7" s="1"/>
  <c r="B43" i="3"/>
  <c r="J42" i="3"/>
  <c r="G42" i="3"/>
  <c r="B42" i="3"/>
  <c r="J41" i="3"/>
  <c r="G5" i="7" s="1"/>
  <c r="G41" i="3"/>
  <c r="C5" i="7" s="1"/>
  <c r="B41" i="3"/>
  <c r="J40" i="3"/>
  <c r="G40" i="3"/>
  <c r="B40" i="3"/>
  <c r="J39" i="3"/>
  <c r="G15" i="6" s="1"/>
  <c r="G39" i="3"/>
  <c r="C15" i="6" s="1"/>
  <c r="B39" i="3"/>
  <c r="J38" i="3"/>
  <c r="G38" i="3"/>
  <c r="B38" i="3"/>
  <c r="J37" i="3"/>
  <c r="G13" i="6" s="1"/>
  <c r="G37" i="3"/>
  <c r="C13" i="6" s="1"/>
  <c r="B37" i="3"/>
  <c r="J36" i="3"/>
  <c r="G36" i="3"/>
  <c r="B36" i="3"/>
  <c r="J35" i="3"/>
  <c r="G11" i="6" s="1"/>
  <c r="G35" i="3"/>
  <c r="C11" i="6" s="1"/>
  <c r="B35" i="3"/>
  <c r="J34" i="3"/>
  <c r="G34" i="3"/>
  <c r="B34" i="3"/>
  <c r="J33" i="3"/>
  <c r="G9" i="6" s="1"/>
  <c r="G33" i="3"/>
  <c r="C9" i="6" s="1"/>
  <c r="B33" i="3"/>
  <c r="J32" i="3"/>
  <c r="G32" i="3"/>
  <c r="B32" i="3"/>
  <c r="J31" i="3"/>
  <c r="G7" i="6" s="1"/>
  <c r="G31" i="3"/>
  <c r="C7" i="6" s="1"/>
  <c r="B31" i="3"/>
  <c r="J30" i="3"/>
  <c r="G30" i="3"/>
  <c r="B30" i="3"/>
  <c r="J29" i="3"/>
  <c r="G5" i="6" s="1"/>
  <c r="G29" i="3"/>
  <c r="C5" i="6" s="1"/>
  <c r="B29" i="3"/>
  <c r="K28" i="3"/>
  <c r="H4" i="6" s="1"/>
  <c r="J28" i="3"/>
  <c r="G28" i="3"/>
  <c r="B28" i="3"/>
  <c r="J27" i="3"/>
  <c r="G15" i="5" s="1"/>
  <c r="G27" i="3"/>
  <c r="C15" i="5" s="1"/>
  <c r="B27" i="3"/>
  <c r="J26" i="3"/>
  <c r="G14" i="5" s="1"/>
  <c r="G26" i="3"/>
  <c r="B26" i="3"/>
  <c r="J25" i="3"/>
  <c r="G13" i="5" s="1"/>
  <c r="G25" i="3"/>
  <c r="B25" i="3"/>
  <c r="J24" i="3"/>
  <c r="G12" i="5" s="1"/>
  <c r="G24" i="3"/>
  <c r="B24" i="3"/>
  <c r="J23" i="3"/>
  <c r="G11" i="5" s="1"/>
  <c r="G23" i="3"/>
  <c r="B23" i="3"/>
  <c r="J22" i="3"/>
  <c r="G10" i="5" s="1"/>
  <c r="G22" i="3"/>
  <c r="B22" i="3"/>
  <c r="J21" i="3"/>
  <c r="G9" i="5" s="1"/>
  <c r="G21" i="3"/>
  <c r="B21" i="3"/>
  <c r="J20" i="3"/>
  <c r="G8" i="5" s="1"/>
  <c r="G20" i="3"/>
  <c r="B20" i="3"/>
  <c r="J19" i="3"/>
  <c r="G7" i="5" s="1"/>
  <c r="G19" i="3"/>
  <c r="B19" i="3"/>
  <c r="J18" i="3"/>
  <c r="G6" i="5" s="1"/>
  <c r="G18" i="3"/>
  <c r="B18" i="3"/>
  <c r="J17" i="3"/>
  <c r="G5" i="5" s="1"/>
  <c r="G17" i="3"/>
  <c r="C5" i="5" s="1"/>
  <c r="B17" i="3"/>
  <c r="J16" i="3"/>
  <c r="G4" i="5" s="1"/>
  <c r="G16" i="3"/>
  <c r="B16" i="3"/>
  <c r="J15" i="3"/>
  <c r="G15" i="4" s="1"/>
  <c r="G15" i="3"/>
  <c r="C15" i="4" s="1"/>
  <c r="B15" i="3"/>
  <c r="J14" i="3"/>
  <c r="G14" i="4" s="1"/>
  <c r="G14" i="3"/>
  <c r="B14" i="3"/>
  <c r="J13" i="3"/>
  <c r="G13" i="4" s="1"/>
  <c r="G13" i="3"/>
  <c r="C13" i="4" s="1"/>
  <c r="B13" i="3"/>
  <c r="J12" i="3"/>
  <c r="G12" i="4" s="1"/>
  <c r="G12" i="3"/>
  <c r="C12" i="4" s="1"/>
  <c r="B12" i="3"/>
  <c r="J11" i="3"/>
  <c r="G11" i="4" s="1"/>
  <c r="G11" i="3"/>
  <c r="C11" i="4" s="1"/>
  <c r="B11" i="3"/>
  <c r="J10" i="3"/>
  <c r="G10" i="4" s="1"/>
  <c r="G10" i="3"/>
  <c r="C10" i="4" s="1"/>
  <c r="B10" i="3"/>
  <c r="J9" i="3"/>
  <c r="G9" i="4" s="1"/>
  <c r="G9" i="3"/>
  <c r="C9" i="4" s="1"/>
  <c r="B9" i="3"/>
  <c r="J8" i="3"/>
  <c r="G8" i="4" s="1"/>
  <c r="G8" i="3"/>
  <c r="C8" i="4" s="1"/>
  <c r="B8" i="3"/>
  <c r="J7" i="3"/>
  <c r="G7" i="4" s="1"/>
  <c r="G7" i="3"/>
  <c r="C7" i="4" s="1"/>
  <c r="B7" i="3"/>
  <c r="K6" i="3"/>
  <c r="H6" i="4" s="1"/>
  <c r="J6" i="3"/>
  <c r="G6" i="4" s="1"/>
  <c r="G6" i="3"/>
  <c r="B6" i="3"/>
  <c r="J5" i="3"/>
  <c r="G5" i="4" s="1"/>
  <c r="G5" i="3"/>
  <c r="C5" i="4" s="1"/>
  <c r="B5" i="3"/>
  <c r="R4" i="3"/>
  <c r="J4" i="3"/>
  <c r="G4" i="3"/>
  <c r="C4" i="4" s="1"/>
  <c r="B4" i="3"/>
  <c r="B19" i="2"/>
  <c r="B11" i="2"/>
  <c r="H42" i="3" s="1"/>
  <c r="D6" i="7" s="1"/>
  <c r="B9" i="2"/>
  <c r="B6" i="2"/>
  <c r="K51" i="3" s="1"/>
  <c r="B26" i="1"/>
  <c r="B25" i="1"/>
  <c r="B24" i="1"/>
  <c r="B23" i="1"/>
  <c r="B22" i="1"/>
  <c r="B21" i="1"/>
  <c r="D4" i="1"/>
  <c r="K4" i="3" l="1"/>
  <c r="H4" i="4" s="1"/>
  <c r="K30" i="3"/>
  <c r="H6" i="6" s="1"/>
  <c r="K8" i="3"/>
  <c r="H8" i="4" s="1"/>
  <c r="K18" i="3"/>
  <c r="H6" i="5" s="1"/>
  <c r="K46" i="3"/>
  <c r="H10" i="7" s="1"/>
  <c r="K40" i="3"/>
  <c r="H4" i="7" s="1"/>
  <c r="K10" i="3"/>
  <c r="L10" i="3" s="1"/>
  <c r="I10" i="4" s="1"/>
  <c r="K49" i="3"/>
  <c r="H13" i="7" s="1"/>
  <c r="L49" i="3"/>
  <c r="I13" i="7" s="1"/>
  <c r="K26" i="3"/>
  <c r="H14" i="5" s="1"/>
  <c r="K38" i="3"/>
  <c r="H14" i="6" s="1"/>
  <c r="K47" i="3"/>
  <c r="H11" i="7" s="1"/>
  <c r="K14" i="3"/>
  <c r="H14" i="4" s="1"/>
  <c r="K20" i="3"/>
  <c r="H8" i="5" s="1"/>
  <c r="K36" i="3"/>
  <c r="H12" i="6" s="1"/>
  <c r="H15" i="7"/>
  <c r="L51" i="3"/>
  <c r="I15" i="7" s="1"/>
  <c r="C4" i="1"/>
  <c r="E8" i="1"/>
  <c r="H8" i="3"/>
  <c r="C6" i="5"/>
  <c r="H27" i="3"/>
  <c r="D15" i="5" s="1"/>
  <c r="H28" i="3"/>
  <c r="D4" i="6" s="1"/>
  <c r="H29" i="3"/>
  <c r="G6" i="6"/>
  <c r="L30" i="3"/>
  <c r="I6" i="6" s="1"/>
  <c r="C14" i="6"/>
  <c r="H39" i="3"/>
  <c r="G4" i="7"/>
  <c r="L40" i="3"/>
  <c r="H49" i="3"/>
  <c r="D13" i="7" s="1"/>
  <c r="G14" i="7"/>
  <c r="H18" i="3"/>
  <c r="D6" i="5" s="1"/>
  <c r="C7" i="5"/>
  <c r="H38" i="3"/>
  <c r="D14" i="6" s="1"/>
  <c r="C12" i="7"/>
  <c r="H14" i="3"/>
  <c r="D14" i="4" s="1"/>
  <c r="H19" i="3"/>
  <c r="D7" i="5" s="1"/>
  <c r="C8" i="5"/>
  <c r="L26" i="3"/>
  <c r="I14" i="5" s="1"/>
  <c r="C12" i="6"/>
  <c r="H37" i="3"/>
  <c r="G14" i="6"/>
  <c r="C11" i="7"/>
  <c r="H6" i="3"/>
  <c r="D6" i="4" s="1"/>
  <c r="H11" i="3"/>
  <c r="D11" i="4" s="1"/>
  <c r="B7" i="1"/>
  <c r="N4" i="4"/>
  <c r="I11" i="3"/>
  <c r="H20" i="3"/>
  <c r="D8" i="5" s="1"/>
  <c r="C9" i="5"/>
  <c r="H36" i="3"/>
  <c r="D12" i="6" s="1"/>
  <c r="H46" i="3"/>
  <c r="H47" i="3"/>
  <c r="D11" i="7" s="1"/>
  <c r="H12" i="7"/>
  <c r="C6" i="4"/>
  <c r="L18" i="3"/>
  <c r="I6" i="5" s="1"/>
  <c r="H21" i="3"/>
  <c r="D9" i="5" s="1"/>
  <c r="C10" i="5"/>
  <c r="C10" i="6"/>
  <c r="H35" i="3"/>
  <c r="G12" i="6"/>
  <c r="L36" i="3"/>
  <c r="I12" i="6" s="1"/>
  <c r="C8" i="7"/>
  <c r="H45" i="3"/>
  <c r="L48" i="3"/>
  <c r="I12" i="7" s="1"/>
  <c r="F16" i="4"/>
  <c r="B8" i="1"/>
  <c r="B4" i="1"/>
  <c r="H34" i="3"/>
  <c r="D10" i="6" s="1"/>
  <c r="H44" i="3"/>
  <c r="D8" i="7" s="1"/>
  <c r="L47" i="3"/>
  <c r="I11" i="7" s="1"/>
  <c r="G4" i="6"/>
  <c r="L28" i="3"/>
  <c r="I4" i="6" s="1"/>
  <c r="E4" i="1"/>
  <c r="H9" i="3"/>
  <c r="D9" i="4" s="1"/>
  <c r="I4" i="3"/>
  <c r="G52" i="3"/>
  <c r="C14" i="4"/>
  <c r="I14" i="3"/>
  <c r="L8" i="3"/>
  <c r="I8" i="4" s="1"/>
  <c r="H15" i="3"/>
  <c r="D15" i="4" s="1"/>
  <c r="D7" i="1"/>
  <c r="H12" i="3"/>
  <c r="D12" i="4" s="1"/>
  <c r="C4" i="5"/>
  <c r="H23" i="3"/>
  <c r="D11" i="5" s="1"/>
  <c r="C12" i="5"/>
  <c r="C8" i="6"/>
  <c r="H33" i="3"/>
  <c r="G10" i="6"/>
  <c r="C6" i="7"/>
  <c r="I42" i="3"/>
  <c r="H43" i="3"/>
  <c r="G8" i="7"/>
  <c r="H16" i="3"/>
  <c r="D4" i="5" s="1"/>
  <c r="K22" i="3"/>
  <c r="H10" i="5" s="1"/>
  <c r="H24" i="3"/>
  <c r="D12" i="5" s="1"/>
  <c r="C13" i="5"/>
  <c r="H32" i="3"/>
  <c r="D8" i="6" s="1"/>
  <c r="K34" i="3"/>
  <c r="H10" i="6" s="1"/>
  <c r="K44" i="3"/>
  <c r="H8" i="7" s="1"/>
  <c r="L46" i="3"/>
  <c r="I10" i="7" s="1"/>
  <c r="H51" i="3"/>
  <c r="D15" i="7" s="1"/>
  <c r="H48" i="3"/>
  <c r="D12" i="7" s="1"/>
  <c r="B3" i="1"/>
  <c r="L14" i="3"/>
  <c r="I14" i="4" s="1"/>
  <c r="H22" i="3"/>
  <c r="D10" i="5" s="1"/>
  <c r="C3" i="1"/>
  <c r="D3" i="1"/>
  <c r="G16" i="5"/>
  <c r="H25" i="3"/>
  <c r="D13" i="5" s="1"/>
  <c r="C14" i="5"/>
  <c r="C6" i="6"/>
  <c r="H31" i="3"/>
  <c r="G8" i="6"/>
  <c r="C4" i="7"/>
  <c r="H41" i="3"/>
  <c r="E5" i="1" s="1"/>
  <c r="G6" i="7"/>
  <c r="C14" i="7"/>
  <c r="C7" i="1"/>
  <c r="C11" i="5"/>
  <c r="E7" i="1"/>
  <c r="J52" i="3"/>
  <c r="G4" i="4"/>
  <c r="G16" i="4" s="1"/>
  <c r="L6" i="3"/>
  <c r="I6" i="4" s="1"/>
  <c r="H7" i="3"/>
  <c r="D7" i="4" s="1"/>
  <c r="E3" i="1"/>
  <c r="C8" i="1"/>
  <c r="L4" i="3"/>
  <c r="M4" i="3" s="1"/>
  <c r="H5" i="3"/>
  <c r="H10" i="3"/>
  <c r="D10" i="4" s="1"/>
  <c r="D8" i="1"/>
  <c r="K45" i="3"/>
  <c r="K43" i="3"/>
  <c r="K41" i="3"/>
  <c r="E9" i="1" s="1"/>
  <c r="K39" i="3"/>
  <c r="K37" i="3"/>
  <c r="K35" i="3"/>
  <c r="K33" i="3"/>
  <c r="K31" i="3"/>
  <c r="K29" i="3"/>
  <c r="H5" i="6" s="1"/>
  <c r="K27" i="3"/>
  <c r="H15" i="5" s="1"/>
  <c r="K25" i="3"/>
  <c r="K23" i="3"/>
  <c r="K21" i="3"/>
  <c r="H9" i="5" s="1"/>
  <c r="K19" i="3"/>
  <c r="K17" i="3"/>
  <c r="H5" i="5" s="1"/>
  <c r="K15" i="3"/>
  <c r="H15" i="4" s="1"/>
  <c r="K13" i="3"/>
  <c r="H13" i="4" s="1"/>
  <c r="K11" i="3"/>
  <c r="H11" i="4" s="1"/>
  <c r="K9" i="3"/>
  <c r="H9" i="4" s="1"/>
  <c r="K7" i="3"/>
  <c r="K5" i="3"/>
  <c r="B20" i="1"/>
  <c r="K50" i="3"/>
  <c r="H14" i="7" s="1"/>
  <c r="I5" i="3"/>
  <c r="L7" i="3"/>
  <c r="I7" i="4" s="1"/>
  <c r="K12" i="3"/>
  <c r="H13" i="3"/>
  <c r="K16" i="3"/>
  <c r="H17" i="3"/>
  <c r="K24" i="3"/>
  <c r="H26" i="3"/>
  <c r="D14" i="5" s="1"/>
  <c r="C4" i="6"/>
  <c r="C16" i="6" s="1"/>
  <c r="I28" i="3"/>
  <c r="H30" i="3"/>
  <c r="D6" i="6" s="1"/>
  <c r="K32" i="3"/>
  <c r="H40" i="3"/>
  <c r="D4" i="7" s="1"/>
  <c r="K42" i="3"/>
  <c r="L42" i="3" s="1"/>
  <c r="I6" i="7" s="1"/>
  <c r="C13" i="7"/>
  <c r="I49" i="3"/>
  <c r="H50" i="3"/>
  <c r="D14" i="7" s="1"/>
  <c r="F16" i="7"/>
  <c r="M46" i="3"/>
  <c r="J10" i="7" s="1"/>
  <c r="M49" i="3"/>
  <c r="J13" i="7" s="1"/>
  <c r="F16" i="5"/>
  <c r="I27" i="3"/>
  <c r="I51" i="3"/>
  <c r="I16" i="3" l="1"/>
  <c r="I23" i="3"/>
  <c r="H10" i="4"/>
  <c r="M10" i="3"/>
  <c r="J10" i="4" s="1"/>
  <c r="M36" i="3"/>
  <c r="J12" i="6" s="1"/>
  <c r="L20" i="3"/>
  <c r="I8" i="5" s="1"/>
  <c r="M18" i="3"/>
  <c r="J6" i="5" s="1"/>
  <c r="I15" i="3"/>
  <c r="Q15" i="3" s="1"/>
  <c r="M15" i="4" s="1"/>
  <c r="I30" i="3"/>
  <c r="E6" i="6" s="1"/>
  <c r="I40" i="3"/>
  <c r="E4" i="7" s="1"/>
  <c r="I10" i="3"/>
  <c r="Q10" i="3" s="1"/>
  <c r="M10" i="4" s="1"/>
  <c r="D5" i="1"/>
  <c r="L29" i="3"/>
  <c r="I5" i="6" s="1"/>
  <c r="I20" i="3"/>
  <c r="E8" i="5" s="1"/>
  <c r="L11" i="3"/>
  <c r="I11" i="4" s="1"/>
  <c r="I47" i="3"/>
  <c r="B9" i="1"/>
  <c r="I12" i="3"/>
  <c r="E12" i="4" s="1"/>
  <c r="I24" i="3"/>
  <c r="E12" i="5" s="1"/>
  <c r="C16" i="4"/>
  <c r="L38" i="3"/>
  <c r="M38" i="3" s="1"/>
  <c r="J14" i="6" s="1"/>
  <c r="C9" i="1"/>
  <c r="L9" i="3"/>
  <c r="J4" i="4"/>
  <c r="E4" i="6"/>
  <c r="Q28" i="3"/>
  <c r="E10" i="4"/>
  <c r="H9" i="6"/>
  <c r="L33" i="3"/>
  <c r="I9" i="6" s="1"/>
  <c r="D7" i="6"/>
  <c r="I31" i="3"/>
  <c r="Q24" i="3"/>
  <c r="M12" i="5" s="1"/>
  <c r="M48" i="3"/>
  <c r="J12" i="7" s="1"/>
  <c r="H11" i="6"/>
  <c r="L35" i="3"/>
  <c r="I11" i="6" s="1"/>
  <c r="D7" i="7"/>
  <c r="I43" i="3"/>
  <c r="C5" i="1"/>
  <c r="L50" i="3"/>
  <c r="I14" i="7" s="1"/>
  <c r="E11" i="5"/>
  <c r="Q23" i="3"/>
  <c r="M11" i="5" s="1"/>
  <c r="M20" i="3"/>
  <c r="J8" i="5" s="1"/>
  <c r="E6" i="7"/>
  <c r="Q42" i="3"/>
  <c r="M6" i="7" s="1"/>
  <c r="D11" i="6"/>
  <c r="I35" i="3"/>
  <c r="L27" i="3"/>
  <c r="I15" i="5" s="1"/>
  <c r="I29" i="3"/>
  <c r="D5" i="6"/>
  <c r="E5" i="4"/>
  <c r="Q5" i="3"/>
  <c r="M5" i="4" s="1"/>
  <c r="H13" i="6"/>
  <c r="L37" i="3"/>
  <c r="I13" i="6" s="1"/>
  <c r="H12" i="5"/>
  <c r="L24" i="3"/>
  <c r="I12" i="5" s="1"/>
  <c r="H7" i="5"/>
  <c r="M19" i="3"/>
  <c r="J7" i="5" s="1"/>
  <c r="L19" i="3"/>
  <c r="I7" i="5" s="1"/>
  <c r="H15" i="6"/>
  <c r="L39" i="3"/>
  <c r="I15" i="6" s="1"/>
  <c r="H52" i="3"/>
  <c r="D5" i="4"/>
  <c r="I26" i="3"/>
  <c r="L21" i="3"/>
  <c r="I9" i="5" s="1"/>
  <c r="E14" i="4"/>
  <c r="Q14" i="3"/>
  <c r="M14" i="4" s="1"/>
  <c r="D9" i="1"/>
  <c r="F9" i="1" s="1"/>
  <c r="I34" i="3"/>
  <c r="D10" i="7"/>
  <c r="I46" i="3"/>
  <c r="E11" i="4"/>
  <c r="Q11" i="3"/>
  <c r="M11" i="4" s="1"/>
  <c r="E11" i="7"/>
  <c r="Q47" i="3"/>
  <c r="M11" i="7" s="1"/>
  <c r="Q49" i="3"/>
  <c r="M13" i="7" s="1"/>
  <c r="E13" i="7"/>
  <c r="N49" i="3"/>
  <c r="H5" i="7"/>
  <c r="L41" i="3"/>
  <c r="M41" i="3" s="1"/>
  <c r="J5" i="7" s="1"/>
  <c r="I4" i="4"/>
  <c r="B5" i="1"/>
  <c r="I14" i="6"/>
  <c r="Q20" i="3"/>
  <c r="M8" i="5" s="1"/>
  <c r="I48" i="3"/>
  <c r="M28" i="3"/>
  <c r="N28" i="3" s="1"/>
  <c r="E4" i="5"/>
  <c r="Q16" i="3"/>
  <c r="H7" i="7"/>
  <c r="L43" i="3"/>
  <c r="I7" i="7" s="1"/>
  <c r="L34" i="3"/>
  <c r="I10" i="6" s="1"/>
  <c r="C16" i="5"/>
  <c r="I22" i="3"/>
  <c r="M29" i="3"/>
  <c r="J5" i="6" s="1"/>
  <c r="I4" i="7"/>
  <c r="M40" i="3"/>
  <c r="I18" i="3"/>
  <c r="I6" i="3"/>
  <c r="D5" i="7"/>
  <c r="I41" i="3"/>
  <c r="I37" i="3"/>
  <c r="D13" i="6"/>
  <c r="G16" i="7"/>
  <c r="L15" i="3"/>
  <c r="I15" i="4" s="1"/>
  <c r="H6" i="7"/>
  <c r="M42" i="3"/>
  <c r="J6" i="7" s="1"/>
  <c r="M26" i="3"/>
  <c r="J14" i="5" s="1"/>
  <c r="I36" i="3"/>
  <c r="L17" i="3"/>
  <c r="I5" i="5" s="1"/>
  <c r="I39" i="3"/>
  <c r="D15" i="6"/>
  <c r="D8" i="4"/>
  <c r="I8" i="3"/>
  <c r="M51" i="3"/>
  <c r="J15" i="7" s="1"/>
  <c r="H11" i="5"/>
  <c r="L23" i="3"/>
  <c r="D5" i="5"/>
  <c r="D16" i="5" s="1"/>
  <c r="I17" i="3"/>
  <c r="H5" i="4"/>
  <c r="L5" i="3"/>
  <c r="I5" i="4" s="1"/>
  <c r="H13" i="5"/>
  <c r="L25" i="3"/>
  <c r="I13" i="5" s="1"/>
  <c r="H9" i="7"/>
  <c r="L45" i="3"/>
  <c r="I9" i="7" s="1"/>
  <c r="C16" i="7"/>
  <c r="L22" i="3"/>
  <c r="M14" i="3"/>
  <c r="J14" i="4" s="1"/>
  <c r="H7" i="4"/>
  <c r="M7" i="3"/>
  <c r="J7" i="4" s="1"/>
  <c r="I25" i="3"/>
  <c r="I7" i="3"/>
  <c r="F4" i="1"/>
  <c r="I45" i="3"/>
  <c r="D9" i="7"/>
  <c r="H8" i="6"/>
  <c r="D13" i="4"/>
  <c r="I13" i="3"/>
  <c r="L32" i="3"/>
  <c r="I8" i="6" s="1"/>
  <c r="I9" i="3"/>
  <c r="M6" i="3"/>
  <c r="J6" i="4" s="1"/>
  <c r="I32" i="3"/>
  <c r="E4" i="4"/>
  <c r="Q4" i="3"/>
  <c r="N4" i="3"/>
  <c r="I44" i="3"/>
  <c r="I21" i="3"/>
  <c r="F7" i="1"/>
  <c r="I19" i="3"/>
  <c r="I38" i="3"/>
  <c r="E15" i="7"/>
  <c r="Q51" i="3"/>
  <c r="M15" i="7" s="1"/>
  <c r="N51" i="3"/>
  <c r="E15" i="5"/>
  <c r="Q27" i="3"/>
  <c r="M15" i="5" s="1"/>
  <c r="H4" i="5"/>
  <c r="L16" i="3"/>
  <c r="D9" i="6"/>
  <c r="I33" i="3"/>
  <c r="G16" i="6"/>
  <c r="H12" i="4"/>
  <c r="L12" i="3"/>
  <c r="I12" i="4" s="1"/>
  <c r="H7" i="6"/>
  <c r="L31" i="3"/>
  <c r="K52" i="3"/>
  <c r="I50" i="3"/>
  <c r="M8" i="3"/>
  <c r="J8" i="4" s="1"/>
  <c r="L44" i="3"/>
  <c r="M47" i="3"/>
  <c r="J11" i="7" s="1"/>
  <c r="F8" i="1"/>
  <c r="M30" i="3"/>
  <c r="J6" i="6" s="1"/>
  <c r="L13" i="3"/>
  <c r="I13" i="4" s="1"/>
  <c r="Q40" i="3" l="1"/>
  <c r="F5" i="1"/>
  <c r="I52" i="3"/>
  <c r="E15" i="4"/>
  <c r="E6" i="1"/>
  <c r="Q12" i="3"/>
  <c r="M12" i="4" s="1"/>
  <c r="D16" i="7"/>
  <c r="Q30" i="3"/>
  <c r="M6" i="6" s="1"/>
  <c r="M11" i="3"/>
  <c r="H16" i="6"/>
  <c r="M32" i="3"/>
  <c r="J8" i="6" s="1"/>
  <c r="M50" i="3"/>
  <c r="J14" i="7" s="1"/>
  <c r="I9" i="4"/>
  <c r="I16" i="4" s="1"/>
  <c r="M9" i="3"/>
  <c r="J9" i="4" s="1"/>
  <c r="D16" i="6"/>
  <c r="M37" i="3"/>
  <c r="J13" i="6" s="1"/>
  <c r="M15" i="3"/>
  <c r="J15" i="4" s="1"/>
  <c r="M27" i="3"/>
  <c r="H16" i="5"/>
  <c r="H16" i="4"/>
  <c r="M39" i="3"/>
  <c r="J15" i="6" s="1"/>
  <c r="M35" i="3"/>
  <c r="J11" i="6" s="1"/>
  <c r="N10" i="3"/>
  <c r="O10" i="3" s="1"/>
  <c r="L10" i="4" s="1"/>
  <c r="K4" i="6"/>
  <c r="O28" i="3"/>
  <c r="M43" i="3"/>
  <c r="J7" i="7" s="1"/>
  <c r="H16" i="7"/>
  <c r="N30" i="3"/>
  <c r="N42" i="3"/>
  <c r="E7" i="7"/>
  <c r="Q43" i="3"/>
  <c r="M7" i="7" s="1"/>
  <c r="M4" i="6"/>
  <c r="E9" i="5"/>
  <c r="Q21" i="3"/>
  <c r="M9" i="5" s="1"/>
  <c r="E9" i="6"/>
  <c r="Q33" i="3"/>
  <c r="M9" i="6" s="1"/>
  <c r="K15" i="7"/>
  <c r="O51" i="3"/>
  <c r="L15" i="7" s="1"/>
  <c r="M4" i="4"/>
  <c r="I10" i="5"/>
  <c r="M22" i="3"/>
  <c r="J10" i="5" s="1"/>
  <c r="M34" i="3"/>
  <c r="J10" i="6" s="1"/>
  <c r="E5" i="5"/>
  <c r="Q17" i="3"/>
  <c r="M5" i="5" s="1"/>
  <c r="E12" i="6"/>
  <c r="N36" i="3"/>
  <c r="Q36" i="3"/>
  <c r="M12" i="6" s="1"/>
  <c r="K13" i="7"/>
  <c r="O49" i="3"/>
  <c r="L13" i="7" s="1"/>
  <c r="N26" i="3"/>
  <c r="E14" i="5"/>
  <c r="Q26" i="3"/>
  <c r="M14" i="5" s="1"/>
  <c r="M24" i="3"/>
  <c r="M4" i="7"/>
  <c r="E10" i="5"/>
  <c r="Q22" i="3"/>
  <c r="M10" i="5" s="1"/>
  <c r="N46" i="3"/>
  <c r="E10" i="7"/>
  <c r="Q46" i="3"/>
  <c r="M10" i="7" s="1"/>
  <c r="D16" i="4"/>
  <c r="M21" i="3"/>
  <c r="J9" i="5" s="1"/>
  <c r="E7" i="6"/>
  <c r="Q31" i="3"/>
  <c r="M7" i="6" s="1"/>
  <c r="E15" i="6"/>
  <c r="Q39" i="3"/>
  <c r="M15" i="6" s="1"/>
  <c r="J4" i="7"/>
  <c r="N50" i="3"/>
  <c r="E14" i="7"/>
  <c r="Q50" i="3"/>
  <c r="M14" i="7" s="1"/>
  <c r="I7" i="6"/>
  <c r="I16" i="6" s="1"/>
  <c r="D10" i="1"/>
  <c r="I4" i="5"/>
  <c r="C10" i="1"/>
  <c r="E14" i="6"/>
  <c r="N38" i="3"/>
  <c r="Q38" i="3"/>
  <c r="M14" i="6" s="1"/>
  <c r="E8" i="6"/>
  <c r="N32" i="3"/>
  <c r="Q32" i="3"/>
  <c r="M8" i="6" s="1"/>
  <c r="E9" i="7"/>
  <c r="Q45" i="3"/>
  <c r="M9" i="7" s="1"/>
  <c r="M31" i="3"/>
  <c r="J7" i="6" s="1"/>
  <c r="M16" i="3"/>
  <c r="E7" i="5"/>
  <c r="N19" i="3"/>
  <c r="Q19" i="3"/>
  <c r="M7" i="5" s="1"/>
  <c r="M45" i="3"/>
  <c r="J9" i="7" s="1"/>
  <c r="I11" i="5"/>
  <c r="M23" i="3"/>
  <c r="N40" i="3"/>
  <c r="M4" i="5"/>
  <c r="E5" i="6"/>
  <c r="Q29" i="3"/>
  <c r="M5" i="6" s="1"/>
  <c r="N29" i="3"/>
  <c r="E9" i="4"/>
  <c r="N9" i="3"/>
  <c r="Q9" i="3"/>
  <c r="M9" i="4" s="1"/>
  <c r="E7" i="4"/>
  <c r="N7" i="3"/>
  <c r="Q7" i="3"/>
  <c r="M7" i="4" s="1"/>
  <c r="N15" i="3"/>
  <c r="E10" i="6"/>
  <c r="N34" i="3"/>
  <c r="Q34" i="3"/>
  <c r="M10" i="6" s="1"/>
  <c r="E13" i="5"/>
  <c r="Q25" i="3"/>
  <c r="M13" i="5" s="1"/>
  <c r="M33" i="3"/>
  <c r="J9" i="6" s="1"/>
  <c r="M12" i="3"/>
  <c r="E8" i="7"/>
  <c r="Q44" i="3"/>
  <c r="M8" i="7" s="1"/>
  <c r="M25" i="3"/>
  <c r="J13" i="5" s="1"/>
  <c r="Q8" i="3"/>
  <c r="M8" i="4" s="1"/>
  <c r="N8" i="3"/>
  <c r="E8" i="4"/>
  <c r="N48" i="3"/>
  <c r="E12" i="7"/>
  <c r="Q48" i="3"/>
  <c r="M12" i="7" s="1"/>
  <c r="N14" i="3"/>
  <c r="M13" i="3"/>
  <c r="J13" i="4" s="1"/>
  <c r="D6" i="1"/>
  <c r="E5" i="7"/>
  <c r="Q41" i="3"/>
  <c r="M5" i="7" s="1"/>
  <c r="N41" i="3"/>
  <c r="E6" i="4"/>
  <c r="N6" i="3"/>
  <c r="Q6" i="3"/>
  <c r="M6" i="4" s="1"/>
  <c r="L52" i="3"/>
  <c r="N47" i="3"/>
  <c r="E11" i="6"/>
  <c r="Q35" i="3"/>
  <c r="M11" i="6" s="1"/>
  <c r="N35" i="3"/>
  <c r="B10" i="1"/>
  <c r="J4" i="6"/>
  <c r="B6" i="1"/>
  <c r="E13" i="4"/>
  <c r="Q13" i="3"/>
  <c r="M13" i="4" s="1"/>
  <c r="I8" i="7"/>
  <c r="M44" i="3"/>
  <c r="J8" i="7" s="1"/>
  <c r="K4" i="4"/>
  <c r="O4" i="3"/>
  <c r="P4" i="3" s="1"/>
  <c r="M5" i="3"/>
  <c r="E13" i="6"/>
  <c r="Q37" i="3"/>
  <c r="M13" i="6" s="1"/>
  <c r="N37" i="3"/>
  <c r="E6" i="5"/>
  <c r="N18" i="3"/>
  <c r="Q18" i="3"/>
  <c r="M6" i="5" s="1"/>
  <c r="N20" i="3"/>
  <c r="I5" i="7"/>
  <c r="E10" i="1"/>
  <c r="M17" i="3"/>
  <c r="J5" i="5" s="1"/>
  <c r="C6" i="1"/>
  <c r="E16" i="7" l="1"/>
  <c r="E16" i="5"/>
  <c r="N43" i="3"/>
  <c r="K10" i="4"/>
  <c r="N39" i="3"/>
  <c r="N25" i="3"/>
  <c r="I16" i="7"/>
  <c r="J11" i="4"/>
  <c r="N11" i="3"/>
  <c r="N13" i="3"/>
  <c r="E16" i="6"/>
  <c r="N31" i="3"/>
  <c r="O31" i="3" s="1"/>
  <c r="L7" i="6" s="1"/>
  <c r="J15" i="5"/>
  <c r="N27" i="3"/>
  <c r="J16" i="6"/>
  <c r="E16" i="4"/>
  <c r="J11" i="5"/>
  <c r="N23" i="3"/>
  <c r="B14" i="1"/>
  <c r="N21" i="3"/>
  <c r="N44" i="3"/>
  <c r="K9" i="4"/>
  <c r="O9" i="3"/>
  <c r="L9" i="4" s="1"/>
  <c r="E14" i="1"/>
  <c r="K12" i="6"/>
  <c r="O36" i="3"/>
  <c r="L12" i="6" s="1"/>
  <c r="M16" i="4"/>
  <c r="K6" i="5"/>
  <c r="O18" i="3"/>
  <c r="L6" i="5" s="1"/>
  <c r="K6" i="4"/>
  <c r="O6" i="3"/>
  <c r="L6" i="4" s="1"/>
  <c r="J12" i="4"/>
  <c r="N12" i="3"/>
  <c r="O34" i="3"/>
  <c r="L10" i="6" s="1"/>
  <c r="K10" i="6"/>
  <c r="K8" i="6"/>
  <c r="O32" i="3"/>
  <c r="L8" i="6" s="1"/>
  <c r="M16" i="7"/>
  <c r="Q52" i="3"/>
  <c r="D14" i="1"/>
  <c r="K14" i="7"/>
  <c r="O50" i="3"/>
  <c r="L14" i="7" s="1"/>
  <c r="J12" i="5"/>
  <c r="N24" i="3"/>
  <c r="M16" i="6"/>
  <c r="K13" i="6"/>
  <c r="O37" i="3"/>
  <c r="L13" i="6" s="1"/>
  <c r="F10" i="1"/>
  <c r="K5" i="7"/>
  <c r="O41" i="3"/>
  <c r="L5" i="7" s="1"/>
  <c r="K12" i="7"/>
  <c r="O48" i="3"/>
  <c r="L12" i="7" s="1"/>
  <c r="K15" i="4"/>
  <c r="O15" i="3"/>
  <c r="L15" i="4" s="1"/>
  <c r="K7" i="5"/>
  <c r="O19" i="3"/>
  <c r="L7" i="5" s="1"/>
  <c r="E11" i="1"/>
  <c r="N17" i="3"/>
  <c r="P51" i="3"/>
  <c r="K7" i="7"/>
  <c r="P43" i="3"/>
  <c r="O43" i="3"/>
  <c r="L7" i="7" s="1"/>
  <c r="K14" i="4"/>
  <c r="O14" i="3"/>
  <c r="L14" i="4" s="1"/>
  <c r="S4" i="3"/>
  <c r="P10" i="3"/>
  <c r="K5" i="6"/>
  <c r="O29" i="3"/>
  <c r="L5" i="6" s="1"/>
  <c r="K11" i="6"/>
  <c r="O35" i="3"/>
  <c r="L11" i="6" s="1"/>
  <c r="K13" i="5"/>
  <c r="O25" i="3"/>
  <c r="L13" i="5" s="1"/>
  <c r="K14" i="6"/>
  <c r="O38" i="3"/>
  <c r="L14" i="6" s="1"/>
  <c r="J16" i="7"/>
  <c r="K13" i="4"/>
  <c r="O13" i="3"/>
  <c r="L13" i="4" s="1"/>
  <c r="C14" i="1"/>
  <c r="K15" i="6"/>
  <c r="O39" i="3"/>
  <c r="L15" i="6" s="1"/>
  <c r="K14" i="5"/>
  <c r="O26" i="3"/>
  <c r="L14" i="5" s="1"/>
  <c r="N33" i="3"/>
  <c r="D12" i="1"/>
  <c r="K8" i="5"/>
  <c r="O20" i="3"/>
  <c r="L8" i="5" s="1"/>
  <c r="K8" i="4"/>
  <c r="O8" i="3"/>
  <c r="L8" i="4" s="1"/>
  <c r="J4" i="5"/>
  <c r="C11" i="1"/>
  <c r="N16" i="3"/>
  <c r="J5" i="4"/>
  <c r="J16" i="4" s="1"/>
  <c r="M52" i="3"/>
  <c r="N5" i="3"/>
  <c r="B11" i="1"/>
  <c r="M16" i="5"/>
  <c r="K10" i="7"/>
  <c r="O46" i="3"/>
  <c r="L10" i="7" s="1"/>
  <c r="K6" i="7"/>
  <c r="O42" i="3"/>
  <c r="L6" i="7" s="1"/>
  <c r="L4" i="6"/>
  <c r="F6" i="1"/>
  <c r="K11" i="7"/>
  <c r="O47" i="3"/>
  <c r="L11" i="7" s="1"/>
  <c r="O7" i="3"/>
  <c r="L7" i="4" s="1"/>
  <c r="K7" i="4"/>
  <c r="N45" i="3"/>
  <c r="I16" i="5"/>
  <c r="P49" i="3"/>
  <c r="K6" i="6"/>
  <c r="O30" i="3"/>
  <c r="L6" i="6" s="1"/>
  <c r="P28" i="3"/>
  <c r="L4" i="4"/>
  <c r="D11" i="1"/>
  <c r="K4" i="7"/>
  <c r="O40" i="3"/>
  <c r="P40" i="3" s="1"/>
  <c r="E12" i="1"/>
  <c r="N22" i="3"/>
  <c r="P15" i="3" l="1"/>
  <c r="P18" i="3"/>
  <c r="K7" i="6"/>
  <c r="O11" i="3"/>
  <c r="L11" i="4" s="1"/>
  <c r="K11" i="4"/>
  <c r="P14" i="3"/>
  <c r="P48" i="3"/>
  <c r="K15" i="5"/>
  <c r="O27" i="3"/>
  <c r="P46" i="3"/>
  <c r="P38" i="3"/>
  <c r="K12" i="5"/>
  <c r="O24" i="3"/>
  <c r="L12" i="5" s="1"/>
  <c r="K8" i="7"/>
  <c r="O44" i="3"/>
  <c r="L8" i="7" s="1"/>
  <c r="P8" i="3"/>
  <c r="P39" i="3"/>
  <c r="O4" i="4"/>
  <c r="T4" i="3"/>
  <c r="F11" i="1"/>
  <c r="P25" i="3"/>
  <c r="P41" i="3"/>
  <c r="P34" i="3"/>
  <c r="K9" i="5"/>
  <c r="O21" i="3"/>
  <c r="L9" i="5" s="1"/>
  <c r="P30" i="3"/>
  <c r="K5" i="4"/>
  <c r="O5" i="3"/>
  <c r="P5" i="3" s="1"/>
  <c r="B12" i="1"/>
  <c r="N52" i="3"/>
  <c r="P19" i="3"/>
  <c r="K12" i="4"/>
  <c r="O12" i="3"/>
  <c r="L12" i="4" s="1"/>
  <c r="F14" i="1"/>
  <c r="P20" i="3"/>
  <c r="P36" i="3"/>
  <c r="P13" i="3"/>
  <c r="P31" i="3"/>
  <c r="P47" i="3"/>
  <c r="K5" i="5"/>
  <c r="O17" i="3"/>
  <c r="L5" i="5" s="1"/>
  <c r="K9" i="7"/>
  <c r="O45" i="3"/>
  <c r="L9" i="7" s="1"/>
  <c r="P35" i="3"/>
  <c r="P7" i="3"/>
  <c r="P42" i="3"/>
  <c r="K4" i="5"/>
  <c r="O16" i="3"/>
  <c r="P16" i="3" s="1"/>
  <c r="C12" i="1"/>
  <c r="K9" i="6"/>
  <c r="K16" i="6" s="1"/>
  <c r="O33" i="3"/>
  <c r="L9" i="6" s="1"/>
  <c r="L16" i="6" s="1"/>
  <c r="P37" i="3"/>
  <c r="P6" i="3"/>
  <c r="L4" i="7"/>
  <c r="P50" i="3"/>
  <c r="K11" i="5"/>
  <c r="O23" i="3"/>
  <c r="L11" i="5" s="1"/>
  <c r="K10" i="5"/>
  <c r="O22" i="3"/>
  <c r="L10" i="5" s="1"/>
  <c r="J16" i="5"/>
  <c r="P26" i="3"/>
  <c r="P29" i="3"/>
  <c r="P32" i="3"/>
  <c r="P9" i="3"/>
  <c r="D13" i="1" l="1"/>
  <c r="P21" i="3"/>
  <c r="K16" i="7"/>
  <c r="P11" i="3"/>
  <c r="F12" i="1"/>
  <c r="E13" i="1"/>
  <c r="L15" i="5"/>
  <c r="P27" i="3"/>
  <c r="P44" i="3"/>
  <c r="K16" i="5"/>
  <c r="L16" i="7"/>
  <c r="P4" i="4"/>
  <c r="R5" i="3"/>
  <c r="S5" i="3" s="1"/>
  <c r="P24" i="3"/>
  <c r="P33" i="3"/>
  <c r="P22" i="3"/>
  <c r="P12" i="3"/>
  <c r="P23" i="3"/>
  <c r="P45" i="3"/>
  <c r="L5" i="4"/>
  <c r="L16" i="4" s="1"/>
  <c r="B13" i="1"/>
  <c r="F13" i="1" s="1"/>
  <c r="O52" i="3"/>
  <c r="L4" i="5"/>
  <c r="C13" i="1"/>
  <c r="P17" i="3"/>
  <c r="K16" i="4"/>
  <c r="L16" i="5" l="1"/>
  <c r="N5" i="4"/>
  <c r="O5" i="4"/>
  <c r="T5" i="3"/>
  <c r="P52" i="3"/>
  <c r="P5" i="4" l="1"/>
  <c r="R6" i="3"/>
  <c r="N6" i="4" l="1"/>
  <c r="S6" i="3"/>
  <c r="O6" i="4" l="1"/>
  <c r="T6" i="3"/>
  <c r="P6" i="4" l="1"/>
  <c r="R7" i="3"/>
  <c r="N7" i="4" l="1"/>
  <c r="S7" i="3"/>
  <c r="O7" i="4" l="1"/>
  <c r="T7" i="3"/>
  <c r="P7" i="4" l="1"/>
  <c r="R8" i="3"/>
  <c r="N8" i="4" l="1"/>
  <c r="S8" i="3"/>
  <c r="O8" i="4" l="1"/>
  <c r="T8" i="3"/>
  <c r="P8" i="4" l="1"/>
  <c r="R9" i="3"/>
  <c r="N9" i="4" l="1"/>
  <c r="S9" i="3"/>
  <c r="O9" i="4" l="1"/>
  <c r="T9" i="3"/>
  <c r="P9" i="4" l="1"/>
  <c r="R10" i="3"/>
  <c r="N10" i="4" l="1"/>
  <c r="S10" i="3"/>
  <c r="O10" i="4" l="1"/>
  <c r="T10" i="3"/>
  <c r="P10" i="4" l="1"/>
  <c r="R11" i="3"/>
  <c r="N11" i="4" l="1"/>
  <c r="S11" i="3"/>
  <c r="O11" i="4" l="1"/>
  <c r="T11" i="3"/>
  <c r="R12" i="3" l="1"/>
  <c r="P11" i="4"/>
  <c r="N12" i="4" l="1"/>
  <c r="S12" i="3"/>
  <c r="O12" i="4" l="1"/>
  <c r="T12" i="3"/>
  <c r="P12" i="4" l="1"/>
  <c r="R13" i="3"/>
  <c r="N13" i="4" l="1"/>
  <c r="S13" i="3"/>
  <c r="O13" i="4" l="1"/>
  <c r="T13" i="3"/>
  <c r="P13" i="4" l="1"/>
  <c r="R14" i="3"/>
  <c r="N14" i="4" l="1"/>
  <c r="S14" i="3"/>
  <c r="O14" i="4" l="1"/>
  <c r="T14" i="3"/>
  <c r="P14" i="4" l="1"/>
  <c r="R15" i="3"/>
  <c r="N15" i="4" l="1"/>
  <c r="N16" i="4" s="1"/>
  <c r="S15" i="3"/>
  <c r="O15" i="4" l="1"/>
  <c r="O16" i="4" s="1"/>
  <c r="T15" i="3"/>
  <c r="P15" i="4" l="1"/>
  <c r="P16" i="4"/>
  <c r="B17" i="1"/>
  <c r="R16" i="3"/>
  <c r="N4" i="5" l="1"/>
  <c r="S16" i="3"/>
  <c r="O4" i="5" l="1"/>
  <c r="T16" i="3"/>
  <c r="P4" i="5" l="1"/>
  <c r="R17" i="3"/>
  <c r="N5" i="5" l="1"/>
  <c r="S17" i="3"/>
  <c r="O5" i="5" l="1"/>
  <c r="T17" i="3"/>
  <c r="P5" i="5" l="1"/>
  <c r="R18" i="3"/>
  <c r="N6" i="5" l="1"/>
  <c r="S18" i="3"/>
  <c r="O6" i="5" l="1"/>
  <c r="T18" i="3"/>
  <c r="P6" i="5" l="1"/>
  <c r="R19" i="3"/>
  <c r="N7" i="5" l="1"/>
  <c r="S19" i="3"/>
  <c r="O7" i="5" l="1"/>
  <c r="T19" i="3"/>
  <c r="P7" i="5" l="1"/>
  <c r="R20" i="3"/>
  <c r="N8" i="5" l="1"/>
  <c r="S20" i="3"/>
  <c r="O8" i="5" l="1"/>
  <c r="T20" i="3"/>
  <c r="P8" i="5" l="1"/>
  <c r="R21" i="3"/>
  <c r="N9" i="5" l="1"/>
  <c r="S21" i="3"/>
  <c r="O9" i="5" l="1"/>
  <c r="T21" i="3"/>
  <c r="P9" i="5" l="1"/>
  <c r="R22" i="3"/>
  <c r="N10" i="5" l="1"/>
  <c r="S22" i="3"/>
  <c r="O10" i="5" l="1"/>
  <c r="T22" i="3"/>
  <c r="P10" i="5" l="1"/>
  <c r="R23" i="3"/>
  <c r="N11" i="5" l="1"/>
  <c r="S23" i="3"/>
  <c r="O11" i="5" l="1"/>
  <c r="T23" i="3"/>
  <c r="P11" i="5" l="1"/>
  <c r="R24" i="3"/>
  <c r="N12" i="5" l="1"/>
  <c r="S24" i="3"/>
  <c r="O12" i="5" l="1"/>
  <c r="T24" i="3"/>
  <c r="P12" i="5" l="1"/>
  <c r="R25" i="3"/>
  <c r="N13" i="5" l="1"/>
  <c r="S25" i="3"/>
  <c r="O13" i="5" l="1"/>
  <c r="T25" i="3"/>
  <c r="P13" i="5" l="1"/>
  <c r="R26" i="3"/>
  <c r="N14" i="5" l="1"/>
  <c r="S26" i="3"/>
  <c r="O14" i="5" l="1"/>
  <c r="T26" i="3"/>
  <c r="P14" i="5" l="1"/>
  <c r="R27" i="3"/>
  <c r="N15" i="5" l="1"/>
  <c r="N16" i="5" s="1"/>
  <c r="S27" i="3"/>
  <c r="O15" i="5" l="1"/>
  <c r="O16" i="5" s="1"/>
  <c r="T27" i="3"/>
  <c r="P15" i="5" l="1"/>
  <c r="P16" i="5"/>
  <c r="C17" i="1"/>
  <c r="R28" i="3"/>
  <c r="N4" i="6" l="1"/>
  <c r="S28" i="3"/>
  <c r="O4" i="6" l="1"/>
  <c r="T28" i="3"/>
  <c r="P4" i="6" l="1"/>
  <c r="R29" i="3"/>
  <c r="N5" i="6" l="1"/>
  <c r="S29" i="3"/>
  <c r="O5" i="6" l="1"/>
  <c r="T29" i="3"/>
  <c r="P5" i="6" l="1"/>
  <c r="R30" i="3"/>
  <c r="N6" i="6" l="1"/>
  <c r="S30" i="3"/>
  <c r="O6" i="6" l="1"/>
  <c r="T30" i="3"/>
  <c r="P6" i="6" l="1"/>
  <c r="R31" i="3"/>
  <c r="N7" i="6" l="1"/>
  <c r="S31" i="3"/>
  <c r="O7" i="6" l="1"/>
  <c r="T31" i="3"/>
  <c r="P7" i="6" l="1"/>
  <c r="R32" i="3"/>
  <c r="N8" i="6" l="1"/>
  <c r="S32" i="3"/>
  <c r="O8" i="6" l="1"/>
  <c r="T32" i="3"/>
  <c r="P8" i="6" l="1"/>
  <c r="R33" i="3"/>
  <c r="N9" i="6" l="1"/>
  <c r="S33" i="3"/>
  <c r="O9" i="6" l="1"/>
  <c r="T33" i="3"/>
  <c r="P9" i="6" l="1"/>
  <c r="R34" i="3"/>
  <c r="N10" i="6" l="1"/>
  <c r="S34" i="3"/>
  <c r="O10" i="6" l="1"/>
  <c r="T34" i="3"/>
  <c r="P10" i="6" l="1"/>
  <c r="R35" i="3"/>
  <c r="N11" i="6" l="1"/>
  <c r="S35" i="3"/>
  <c r="O11" i="6" l="1"/>
  <c r="T35" i="3"/>
  <c r="P11" i="6" l="1"/>
  <c r="R36" i="3"/>
  <c r="N12" i="6" l="1"/>
  <c r="S36" i="3"/>
  <c r="O12" i="6" l="1"/>
  <c r="T36" i="3"/>
  <c r="P12" i="6" l="1"/>
  <c r="R37" i="3"/>
  <c r="N13" i="6" l="1"/>
  <c r="S37" i="3"/>
  <c r="O13" i="6" l="1"/>
  <c r="T37" i="3"/>
  <c r="P13" i="6" l="1"/>
  <c r="R38" i="3"/>
  <c r="N14" i="6" l="1"/>
  <c r="S38" i="3"/>
  <c r="O14" i="6" l="1"/>
  <c r="T38" i="3"/>
  <c r="P14" i="6" l="1"/>
  <c r="R39" i="3"/>
  <c r="N15" i="6" l="1"/>
  <c r="N16" i="6" s="1"/>
  <c r="S39" i="3"/>
  <c r="O15" i="6" l="1"/>
  <c r="O16" i="6" s="1"/>
  <c r="T39" i="3"/>
  <c r="P15" i="6" l="1"/>
  <c r="P16" i="6"/>
  <c r="R40" i="3"/>
  <c r="D17" i="1"/>
  <c r="N4" i="7" l="1"/>
  <c r="S40" i="3"/>
  <c r="O4" i="7" l="1"/>
  <c r="T40" i="3"/>
  <c r="P4" i="7" l="1"/>
  <c r="R41" i="3"/>
  <c r="N5" i="7" l="1"/>
  <c r="S41" i="3"/>
  <c r="O5" i="7" l="1"/>
  <c r="T41" i="3"/>
  <c r="P5" i="7" l="1"/>
  <c r="R42" i="3"/>
  <c r="N6" i="7" l="1"/>
  <c r="S42" i="3"/>
  <c r="O6" i="7" l="1"/>
  <c r="T42" i="3"/>
  <c r="P6" i="7" l="1"/>
  <c r="R43" i="3"/>
  <c r="N7" i="7" l="1"/>
  <c r="S43" i="3"/>
  <c r="O7" i="7" l="1"/>
  <c r="T43" i="3"/>
  <c r="P7" i="7" l="1"/>
  <c r="R44" i="3"/>
  <c r="N8" i="7" l="1"/>
  <c r="S44" i="3"/>
  <c r="O8" i="7" l="1"/>
  <c r="T44" i="3"/>
  <c r="P8" i="7" l="1"/>
  <c r="R45" i="3"/>
  <c r="N9" i="7" l="1"/>
  <c r="S45" i="3"/>
  <c r="O9" i="7" l="1"/>
  <c r="T45" i="3"/>
  <c r="P9" i="7" l="1"/>
  <c r="R46" i="3"/>
  <c r="N10" i="7" l="1"/>
  <c r="S46" i="3"/>
  <c r="O10" i="7" l="1"/>
  <c r="T46" i="3"/>
  <c r="P10" i="7" l="1"/>
  <c r="R47" i="3"/>
  <c r="N11" i="7" l="1"/>
  <c r="S47" i="3"/>
  <c r="O11" i="7" l="1"/>
  <c r="T47" i="3"/>
  <c r="P11" i="7" l="1"/>
  <c r="R48" i="3"/>
  <c r="N12" i="7" l="1"/>
  <c r="S48" i="3"/>
  <c r="O12" i="7" l="1"/>
  <c r="T48" i="3"/>
  <c r="P12" i="7" l="1"/>
  <c r="R49" i="3"/>
  <c r="N13" i="7" l="1"/>
  <c r="S49" i="3"/>
  <c r="O13" i="7" l="1"/>
  <c r="T49" i="3"/>
  <c r="P13" i="7" l="1"/>
  <c r="R50" i="3"/>
  <c r="N14" i="7" l="1"/>
  <c r="S50" i="3"/>
  <c r="O14" i="7" l="1"/>
  <c r="T50" i="3"/>
  <c r="P14" i="7" l="1"/>
  <c r="R51" i="3"/>
  <c r="N15" i="7" l="1"/>
  <c r="N16" i="7" s="1"/>
  <c r="S51" i="3"/>
  <c r="B15" i="1"/>
  <c r="R52" i="3"/>
  <c r="C15" i="1"/>
  <c r="D15" i="1"/>
  <c r="E15" i="1"/>
  <c r="F15" i="1" l="1"/>
  <c r="O15" i="7"/>
  <c r="O16" i="7" s="1"/>
  <c r="A2" i="4"/>
  <c r="B16" i="1"/>
  <c r="S52" i="3"/>
  <c r="A2" i="5"/>
  <c r="C16" i="1"/>
  <c r="A2" i="6"/>
  <c r="D16" i="1"/>
  <c r="A2" i="7"/>
  <c r="E16" i="1"/>
  <c r="T51" i="3"/>
  <c r="F16" i="1" l="1"/>
  <c r="P16" i="7"/>
  <c r="P15" i="7"/>
  <c r="T52" i="3"/>
  <c r="F17" i="1"/>
  <c r="E17" i="1"/>
</calcChain>
</file>

<file path=xl/sharedStrings.xml><?xml version="1.0" encoding="utf-8"?>
<sst xmlns="http://schemas.openxmlformats.org/spreadsheetml/2006/main" count="237" uniqueCount="134">
  <si>
    <t>RESUMO ANUAL — FLUXO DE CAIXA — LOTEAMENTO PAPAGAIOS/MG</t>
  </si>
  <si>
    <t>INDICADOR</t>
  </si>
  <si>
    <t>ANO 1</t>
  </si>
  <si>
    <t>ANO 2</t>
  </si>
  <si>
    <t>ANO 3</t>
  </si>
  <si>
    <t>ANO 4</t>
  </si>
  <si>
    <t>TOTAL 4 ANOS</t>
  </si>
  <si>
    <t>Lotes vendidos</t>
  </si>
  <si>
    <t>Receita à vista</t>
  </si>
  <si>
    <t>Parcelas recebidas</t>
  </si>
  <si>
    <t>TOTAL RECEITA</t>
  </si>
  <si>
    <t>(-) Infraestrutura</t>
  </si>
  <si>
    <t>(-) Corretagem</t>
  </si>
  <si>
    <t>(-) Admin &amp; Marketing</t>
  </si>
  <si>
    <t>(-) Contingência</t>
  </si>
  <si>
    <t>TOTAL CUSTOS</t>
  </si>
  <si>
    <t>Resultado Bruto</t>
  </si>
  <si>
    <t>(-) Pagto. Terrenista</t>
  </si>
  <si>
    <t>(-) Impostos</t>
  </si>
  <si>
    <t>(-) Custo Financeiro</t>
  </si>
  <si>
    <t>FLUXO LÍQUIDO EMPREENDEDOR</t>
  </si>
  <si>
    <t>SALDO ACUMULADO (final ano)</t>
  </si>
  <si>
    <t>INDICADORES CHAVE (vínculos com Parâmetros)</t>
  </si>
  <si>
    <t>VGV Total</t>
  </si>
  <si>
    <t>Preço por lote</t>
  </si>
  <si>
    <t>Total de lotes</t>
  </si>
  <si>
    <t>% Empreendedor</t>
  </si>
  <si>
    <t>% Terrenista</t>
  </si>
  <si>
    <t>Capital próprio investido</t>
  </si>
  <si>
    <t>Infra total</t>
  </si>
  <si>
    <t>PARÂMETROS — altere aqui e todo o fluxo de caixa recalcula</t>
  </si>
  <si>
    <t>🟡 Amarelo = editável   |   🔵 Azul = calculado automaticamente</t>
  </si>
  <si>
    <t>COMERCIAL</t>
  </si>
  <si>
    <t>Preço de venda por lote (R$)</t>
  </si>
  <si>
    <t>R$</t>
  </si>
  <si>
    <t>Entrada — loteamento popular</t>
  </si>
  <si>
    <t>un.</t>
  </si>
  <si>
    <t>Aprovado pelo projeto urbanístico</t>
  </si>
  <si>
    <t>VGV Total (R$)</t>
  </si>
  <si>
    <t>Calculado</t>
  </si>
  <si>
    <t>FINANCIAMENTO</t>
  </si>
  <si>
    <t>% lotes à vista / banco</t>
  </si>
  <si>
    <t>70% recebido na venda</t>
  </si>
  <si>
    <t>% lotes financiados empreendedor</t>
  </si>
  <si>
    <t>Prazo financiamento (meses)</t>
  </si>
  <si>
    <t>meses</t>
  </si>
  <si>
    <t>Máximo 60 meses</t>
  </si>
  <si>
    <t>Parcela por lote (R$/mês)</t>
  </si>
  <si>
    <t>R$/lote/mês</t>
  </si>
  <si>
    <t>TAXAS E PERCENTUAIS</t>
  </si>
  <si>
    <t>Taxa de corretagem</t>
  </si>
  <si>
    <t>% venda</t>
  </si>
  <si>
    <t>6% sobre valor de venda</t>
  </si>
  <si>
    <t>Taxa administração (% VGV)</t>
  </si>
  <si>
    <t>% VGV</t>
  </si>
  <si>
    <t>3% do VGV total</t>
  </si>
  <si>
    <t>Taxa marketing (% VGV)</t>
  </si>
  <si>
    <t>2% do VGV total</t>
  </si>
  <si>
    <t>Taxa contingência</t>
  </si>
  <si>
    <t>% custos</t>
  </si>
  <si>
    <t>3% sobre custos diretos</t>
  </si>
  <si>
    <t>Taxa impostos — Lucro Presumido</t>
  </si>
  <si>
    <t>% receita</t>
  </si>
  <si>
    <t>PIS+COFINS+IRPJ+CSLL</t>
  </si>
  <si>
    <t>Base: lucro antes dos impostos</t>
  </si>
  <si>
    <t>CAPITAL</t>
  </si>
  <si>
    <t>Capital próprio investido (R$)</t>
  </si>
  <si>
    <t>Aporte inicial — mês 0</t>
  </si>
  <si>
    <t>Taxa custo financeiro (a.m.)</t>
  </si>
  <si>
    <t>a.m.</t>
  </si>
  <si>
    <t>1,5% sobre saldo negativo acum.</t>
  </si>
  <si>
    <t>INFRAESTRUTURA</t>
  </si>
  <si>
    <t>Total infraestrutura (R$)</t>
  </si>
  <si>
    <t>Da aba Infraestrutura — pode vincular se quiser</t>
  </si>
  <si>
    <t>💡  DICA: Para vincular o total da infra automaticamente, substitua o valor de B24 pela fórmula: =Viabilidade!Infraestrutura!E14  (após gerar a planilha principal)</t>
  </si>
  <si>
    <t>CRONOGRAMA MESTRE — motor de cálculo — todas as fórmulas ligadas a Parâmetros</t>
  </si>
  <si>
    <t>IDENTIFICAÇÃO</t>
  </si>
  <si>
    <t>ENTRADAS (EDITÁVEIS)</t>
  </si>
  <si>
    <t>RECEITAS</t>
  </si>
  <si>
    <t>CUSTOS</t>
  </si>
  <si>
    <t>RESULTADO BRUTO</t>
  </si>
  <si>
    <t>RESULTADO LÍQUIDO EMPREENDEDOR</t>
  </si>
  <si>
    <t>MÊS</t>
  </si>
  <si>
    <t>ANO</t>
  </si>
  <si>
    <t>MÊS
NOME</t>
  </si>
  <si>
    <t>LOTES
VENDIDOS</t>
  </si>
  <si>
    <t>INFRA-
ESTRUTURA</t>
  </si>
  <si>
    <t>MARKETING
MENSAL</t>
  </si>
  <si>
    <t>RECEITA
À VISTA</t>
  </si>
  <si>
    <t>PARCELAS
RECEB.</t>
  </si>
  <si>
    <t>TOTAL
RECEITA</t>
  </si>
  <si>
    <t>CORRETA-
GEM</t>
  </si>
  <si>
    <t>ADMIN
MENSAL</t>
  </si>
  <si>
    <t>CONTIN-
GÊNCIA</t>
  </si>
  <si>
    <t>TOTAL
CUSTOS</t>
  </si>
  <si>
    <t>RESULTADO
BRUTO</t>
  </si>
  <si>
    <t>PAGTO.
TERRENISTA</t>
  </si>
  <si>
    <t>RES.EMPREEN-
DEDOR</t>
  </si>
  <si>
    <t>IMPOSTOS</t>
  </si>
  <si>
    <t>CUSTO
FINANC.</t>
  </si>
  <si>
    <t>FLUXO
LÍQUIDO</t>
  </si>
  <si>
    <t>FLUXO
ACUMULADO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</si>
  <si>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</si>
  <si>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</si>
  <si>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</si>
  <si>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</si>
  <si>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</si>
  <si>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</si>
  <si>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</si>
  <si>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</si>
  <si>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</si>
  <si>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</si>
  <si>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</si>
  <si>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</si>
  <si>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48 MESES</t>
  </si>
  <si>
    <t>FLUXO DE CAIXA — ANO 1 — Janeiro a Dezembro — LOTEAMENTO PAPAGAIOS/MG</t>
  </si>
  <si>
    <t>LOTES
VEND.</t>
  </si>
  <si>
    <t>(-) INFRA-
ESTR.</t>
  </si>
  <si>
    <t>(-) CORRE-
TAGEM</t>
  </si>
  <si>
    <t>(-) ADMIN
&amp; MKT</t>
  </si>
  <si>
    <t>(-) CONTIN-
GÊNC.</t>
  </si>
  <si>
    <t>RESULT.
BRUTO</t>
  </si>
  <si>
    <t>(-) TERR-
ENISTA</t>
  </si>
  <si>
    <t>(-) IMPOS-
TOS</t>
  </si>
  <si>
    <t>(-) CUSTO
FINANC.</t>
  </si>
  <si>
    <t>FLUXO
ACUMUL.</t>
  </si>
  <si>
    <t>TOTAL ANO 1</t>
  </si>
  <si>
    <t>📌  Todos os valores são fórmulas vinculadas à aba Cronograma, que por sua vez vincula com Parâmetros. Para alterar qualquer premissa, edite apenas a aba Parâmetros.</t>
  </si>
  <si>
    <t>FLUXO DE CAIXA — ANO 2 — Janeiro a Dezembro — LOTEAMENTO PAPAGAIOS/MG</t>
  </si>
  <si>
    <t>TOTAL ANO 2</t>
  </si>
  <si>
    <t>FLUXO DE CAIXA — ANO 3 — Janeiro a Dezembro — LOTEAMENTO PAPAGAIOS/MG</t>
  </si>
  <si>
    <t>TOTAL ANO 3</t>
  </si>
  <si>
    <t>FLUXO DE CAIXA — ANO 4 — Janeiro a Dezembro — LOTEAMENTO PAPAGAIOS/MG</t>
  </si>
  <si>
    <t>TOTAL ANO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</si>
</sst>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$\ #,##0"/>
    <numFmt numFmtId="165" formatCode="0.0%"/>
    <numFmt numFmtId="166" formatCode="\R\$\ #,##0.00"/>
  </numFmts>
  <fonts count="2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7D6608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9"/>
      <color rgb="FF595959"/>
      <name val="Calibri"/>
    </font>
    <font>
      <sz val="9"/>
      <color rgb="FF595959"/>
      <name val="Calibri"/>
    </font>
    <font>
      <i/>
      <sz val="9"/>
      <color rgb="FF1F4E79"/>
      <name val="Calibri"/>
    </font>
    <font>
      <b/>
      <sz val="11"/>
      <color rgb="FFFFFFFF"/>
      <name val="Calibri"/>
    </font>
    <font>
      <b/>
      <sz val="8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9"/>
      <color rgb="FFFFFFFF"/>
      <name val="Calibri"/>
    </font>
    <font>
      <i/>
      <sz val="9"/>
      <color rgb="FFFFFFFF"/>
      <name val="Calibri"/>
    </font>
    <font>
      <sz val="9"/>
      <name val="Calibri"/>
    </font>
    <font>
      <b/>
      <sz val="9"/>
      <name val="Calibri"/>
    </font>
    <font>
      <b/>
      <sz val="9"/>
      <color rgb="FF1F4E79"/>
      <name val="Calibri"/>
    </font>
    <font>
      <i/>
      <sz val="8"/>
      <color rgb="FF7D6608"/>
      <name val="Calibri"/>
    </font>
    <font>
      <b/>
      <sz val="13"/>
      <color rgb="FFFFFFFF"/>
      <name val="Calibri"/>
    </font>
    <font>
      <b/>
      <sz val="9"/>
      <color rgb="FF1A5276"/>
      <name val="Calibri"/>
    </font>
    <font>
      <b/>
      <sz val="10"/>
      <color rgb="FF1F4E7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D5E8D4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7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3" fontId="15" fillId="5" borderId="1" xfId="0" applyNumberFormat="1" applyFont="1" applyFill="1" applyBorder="1" applyAlignment="1">
      <alignment horizontal="right" vertical="center"/>
    </xf>
    <xf numFmtId="3" fontId="12" fillId="5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left" vertical="center"/>
    </xf>
    <xf numFmtId="164" fontId="15" fillId="4" borderId="1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164" fontId="15" fillId="5" borderId="1" xfId="0" applyNumberFormat="1" applyFont="1" applyFill="1" applyBorder="1" applyAlignment="1">
      <alignment horizontal="right" vertical="center"/>
    </xf>
    <xf numFmtId="164" fontId="12" fillId="5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left" vertical="center"/>
    </xf>
    <xf numFmtId="164" fontId="16" fillId="11" borderId="1" xfId="0" applyNumberFormat="1" applyFont="1" applyFill="1" applyBorder="1" applyAlignment="1">
      <alignment horizontal="right" vertical="center"/>
    </xf>
    <xf numFmtId="164" fontId="20" fillId="11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5" fontId="4" fillId="6" borderId="1" xfId="0" applyNumberFormat="1" applyFont="1" applyFill="1" applyBorder="1" applyAlignment="1">
      <alignment horizontal="right" vertical="center"/>
    </xf>
    <xf numFmtId="166" fontId="4" fillId="6" borderId="1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right" vertical="center"/>
    </xf>
    <xf numFmtId="164" fontId="11" fillId="5" borderId="1" xfId="0" applyNumberFormat="1" applyFont="1" applyFill="1" applyBorder="1" applyAlignment="1">
      <alignment horizontal="right" vertical="center"/>
    </xf>
    <xf numFmtId="164" fontId="12" fillId="10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right" vertical="center"/>
    </xf>
    <xf numFmtId="3" fontId="12" fillId="3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right" vertical="center"/>
    </xf>
    <xf numFmtId="3" fontId="12" fillId="6" borderId="2" xfId="0" applyNumberFormat="1" applyFont="1" applyFill="1" applyBorder="1" applyAlignment="1">
      <alignment horizontal="right" vertical="center"/>
    </xf>
    <xf numFmtId="164" fontId="12" fillId="6" borderId="2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left" vertical="center"/>
    </xf>
    <xf numFmtId="3" fontId="15" fillId="4" borderId="1" xfId="0" applyNumberFormat="1" applyFont="1" applyFill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right" vertical="center"/>
    </xf>
    <xf numFmtId="164" fontId="16" fillId="4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left" vertical="center"/>
    </xf>
    <xf numFmtId="3" fontId="15" fillId="5" borderId="1" xfId="0" applyNumberFormat="1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left" vertical="center"/>
    </xf>
    <xf numFmtId="3" fontId="17" fillId="6" borderId="2" xfId="0" applyNumberFormat="1" applyFont="1" applyFill="1" applyBorder="1" applyAlignment="1">
      <alignment horizontal="center" vertical="center"/>
    </xf>
    <xf numFmtId="164" fontId="17" fillId="6" borderId="2" xfId="0" applyNumberFormat="1" applyFont="1" applyFill="1" applyBorder="1" applyAlignment="1">
      <alignment horizontal="right" vertical="center"/>
    </xf>
    <xf numFmtId="164" fontId="21" fillId="6" borderId="1" xfId="0" applyNumberFormat="1" applyFont="1" applyFill="1" applyBorder="1" applyAlignment="1">
      <alignment horizontal="right" vertical="center"/>
    </xf>
    <xf numFmtId="0" fontId="0" fillId="0" borderId="0" xfId="0"/>
    <xf numFmtId="165" fontId="21" fillId="6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3" fontId="21" fillId="6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wrapText="1"/>
    </xf>
    <xf numFmtId="0" fontId="14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150" zoomScaleNormal="150" workbookViewId="0">
      <pane xSplit="1" ySplit="2" topLeftCell="B3" activePane="bottomRight" state="frozen"/>
      <selection pane="topRight"/>
      <selection pane="bottomLeft"/>
      <selection pane="bottomRight" activeCell="F3" sqref="F3"/>
    </sheetView>
  </sheetViews>
  <sheetFormatPr baseColWidth="10" defaultColWidth="8.83203125" defaultRowHeight="15" x14ac:dyDescent="0.2"/>
  <cols>
    <col min="1" max="1" width="38" customWidth="1"/>
    <col min="2" max="6" width="20" customWidth="1"/>
  </cols>
  <sheetData>
    <row r="1" spans="1:6" ht="30" customHeight="1" x14ac:dyDescent="0.2">
      <c r="A1" s="58" t="s">
        <v>0</v>
      </c>
      <c r="B1" s="55"/>
      <c r="C1" s="55"/>
      <c r="D1" s="55"/>
      <c r="E1" s="55"/>
      <c r="F1" s="55"/>
    </row>
    <row r="2" spans="1:6" ht="18" customHeight="1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spans="1:6" ht="16" customHeight="1" x14ac:dyDescent="0.2">
      <c r="A3" s="4" t="s">
        <v>7</v>
      </c>
      <c r="B3" s="5">
        <f>SUMIF(Cronograma!$B$4:'Cronograma'!$B$51,1,Cronograma!$D$4:'Cronograma'!$D$51)</f>
        <v>90</v>
      </c>
      <c r="C3" s="5">
        <f>SUMIF(Cronograma!$B$4:'Cronograma'!$B$51,2,Cronograma!$D$4:'Cronograma'!$D$51)</f>
        <v>120</v>
      </c>
      <c r="D3" s="5">
        <f>SUMIF(Cronograma!$B$4:'Cronograma'!$B$51,3,Cronograma!$D$4:'Cronograma'!$D$51)</f>
        <v>120</v>
      </c>
      <c r="E3" s="5">
        <f>SUMIF(Cronograma!$B$4:'Cronograma'!$B$51,4,Cronograma!$D$4:'Cronograma'!$D$51)</f>
        <v>0</v>
      </c>
      <c r="F3" s="6">
        <f>B3+C3+D3+E3</f>
        <v>330</v>
      </c>
    </row>
    <row r="4" spans="1:6" ht="16" customHeight="1" x14ac:dyDescent="0.2">
      <c r="A4" s="7" t="s">
        <v>8</v>
      </c>
      <c r="B4" s="8">
        <f>SUMIF(Cronograma!$B$4:'Cronograma'!$B$51,1,Cronograma!$G$4:'Cronograma'!$G$51)</f>
        <v>4725000</v>
      </c>
      <c r="C4" s="8">
        <f>SUMIF(Cronograma!$B$4:'Cronograma'!$B$51,2,Cronograma!$G$4:'Cronograma'!$G$51)</f>
        <v>6300000</v>
      </c>
      <c r="D4" s="8">
        <f>SUMIF(Cronograma!$B$4:'Cronograma'!$B$51,3,Cronograma!$G$4:'Cronograma'!$G$51)</f>
        <v>6300000</v>
      </c>
      <c r="E4" s="8">
        <f>SUMIF(Cronograma!$B$4:'Cronograma'!$B$51,4,Cronograma!$G$4:'Cronograma'!$G$51)</f>
        <v>0</v>
      </c>
      <c r="F4" s="9">
        <f t="shared" ref="F3:F16" si="0">B4+C4+D4+E4</f>
        <v>17325000</v>
      </c>
    </row>
    <row r="5" spans="1:6" ht="16" customHeight="1" x14ac:dyDescent="0.2">
      <c r="A5" s="4" t="s">
        <v>9</v>
      </c>
      <c r="B5" s="10">
        <f>SUMIF(Cronograma!$B$4:'Cronograma'!$B$51,1,Cronograma!$H$4:'Cronograma'!$H$51)</f>
        <v>56250.000000000007</v>
      </c>
      <c r="C5" s="10">
        <f>SUMIF(Cronograma!$B$4:'Cronograma'!$B$51,2,Cronograma!$H$4:'Cronograma'!$H$51)</f>
        <v>326250.00000000006</v>
      </c>
      <c r="D5" s="10">
        <f>SUMIF(Cronograma!$B$4:'Cronograma'!$B$51,3,Cronograma!$H$4:'Cronograma'!$H$51)</f>
        <v>596250.00000000012</v>
      </c>
      <c r="E5" s="10">
        <f>SUMIF(Cronograma!$B$4:'Cronograma'!$B$51,4,Cronograma!$H$4:'Cronograma'!$H$51)</f>
        <v>742500.00000000012</v>
      </c>
      <c r="F5" s="11">
        <f t="shared" si="0"/>
        <v>1721250.0000000005</v>
      </c>
    </row>
    <row r="6" spans="1:6" ht="16" customHeight="1" x14ac:dyDescent="0.2">
      <c r="A6" s="12" t="s">
        <v>10</v>
      </c>
      <c r="B6" s="13">
        <f>SUMIF(Cronograma!$B$4:'Cronograma'!$B$51,1,Cronograma!$I$4:'Cronograma'!$I$51)</f>
        <v>4781250</v>
      </c>
      <c r="C6" s="13">
        <f>SUMIF(Cronograma!$B$4:'Cronograma'!$B$51,2,Cronograma!$I$4:'Cronograma'!$I$51)</f>
        <v>6626250</v>
      </c>
      <c r="D6" s="13">
        <f>SUMIF(Cronograma!$B$4:'Cronograma'!$B$51,3,Cronograma!$I$4:'Cronograma'!$I$51)</f>
        <v>6896250</v>
      </c>
      <c r="E6" s="13">
        <f>SUMIF(Cronograma!$B$4:'Cronograma'!$B$51,4,Cronograma!$I$4:'Cronograma'!$I$51)</f>
        <v>742500.00000000012</v>
      </c>
      <c r="F6" s="14">
        <f t="shared" si="0"/>
        <v>19046250</v>
      </c>
    </row>
    <row r="7" spans="1:6" ht="16" customHeight="1" x14ac:dyDescent="0.2">
      <c r="A7" s="4" t="s">
        <v>11</v>
      </c>
      <c r="B7" s="10">
        <f>SUMIF(Cronograma!$B$4:'Cronograma'!$B$51,1,Cronograma!$E$4:'Cronograma'!$E$51)</f>
        <v>3430000</v>
      </c>
      <c r="C7" s="10">
        <f>SUMIF(Cronograma!$B$4:'Cronograma'!$B$51,2,Cronograma!$E$4:'Cronograma'!$E$51)</f>
        <v>1800000</v>
      </c>
      <c r="D7" s="10">
        <f>SUMIF(Cronograma!$B$4:'Cronograma'!$B$51,3,Cronograma!$E$4:'Cronograma'!$E$51)</f>
        <v>99996</v>
      </c>
      <c r="E7" s="10">
        <f>SUMIF(Cronograma!$B$4:'Cronograma'!$B$51,4,Cronograma!$E$4:'Cronograma'!$E$51)</f>
        <v>99996</v>
      </c>
      <c r="F7" s="11">
        <f t="shared" si="0"/>
        <v>5429992</v>
      </c>
    </row>
    <row r="8" spans="1:6" ht="16" customHeight="1" x14ac:dyDescent="0.2">
      <c r="A8" s="7" t="s">
        <v>12</v>
      </c>
      <c r="B8" s="8">
        <f>SUMIF(Cronograma!$B$4:'Cronograma'!$B$51,1,Cronograma!$J$4:'Cronograma'!$J$51)</f>
        <v>405000</v>
      </c>
      <c r="C8" s="8">
        <f>SUMIF(Cronograma!$B$4:'Cronograma'!$B$51,2,Cronograma!$J$4:'Cronograma'!$J$51)</f>
        <v>540000</v>
      </c>
      <c r="D8" s="8">
        <f>SUMIF(Cronograma!$B$4:'Cronograma'!$B$51,3,Cronograma!$J$4:'Cronograma'!$J$51)</f>
        <v>540000</v>
      </c>
      <c r="E8" s="8">
        <f>SUMIF(Cronograma!$B$4:'Cronograma'!$B$51,4,Cronograma!$J$4:'Cronograma'!$J$51)</f>
        <v>0</v>
      </c>
      <c r="F8" s="9">
        <f t="shared" si="0"/>
        <v>1485000</v>
      </c>
    </row>
    <row r="9" spans="1:6" ht="16" customHeight="1" x14ac:dyDescent="0.2">
      <c r="A9" s="4" t="s">
        <v>13</v>
      </c>
      <c r="B9" s="10">
        <f>SUMIF(Cronograma!$B$4:'Cronograma'!$B$51,1,Cronograma!$F$4:'Cronograma'!$F$51)+SUMIF(Cronograma!$B$4:'Cronograma'!$B$51,1,Cronograma!$K$4:'Cronograma'!$K$51)</f>
        <v>558750</v>
      </c>
      <c r="C9" s="10">
        <f>SUMIF(Cronograma!$B$4:'Cronograma'!$B$51,2,Cronograma!$F$4:'Cronograma'!$F$51)+SUMIF(Cronograma!$B$4:'Cronograma'!$B$51,2,Cronograma!$K$4:'Cronograma'!$K$51)</f>
        <v>228750</v>
      </c>
      <c r="D9" s="10">
        <f>SUMIF(Cronograma!$B$4:'Cronograma'!$B$51,3,Cronograma!$F$4:'Cronograma'!$F$51)+SUMIF(Cronograma!$B$4:'Cronograma'!$B$51,3,Cronograma!$K$4:'Cronograma'!$K$51)</f>
        <v>207750</v>
      </c>
      <c r="E9" s="10">
        <f>SUMIF(Cronograma!$B$4:'Cronograma'!$B$51,4,Cronograma!$F$4:'Cronograma'!$F$51)+SUMIF(Cronograma!$B$4:'Cronograma'!$B$51,4,Cronograma!$K$4:'Cronograma'!$K$51)</f>
        <v>207750</v>
      </c>
      <c r="F9" s="11">
        <f t="shared" si="0"/>
        <v>1203000</v>
      </c>
    </row>
    <row r="10" spans="1:6" ht="16" customHeight="1" x14ac:dyDescent="0.2">
      <c r="A10" s="7" t="s">
        <v>14</v>
      </c>
      <c r="B10" s="8">
        <f>SUMIF(Cronograma!$B$4:'Cronograma'!$B$51,1,Cronograma!$L$4:'Cronograma'!$L$51)</f>
        <v>131812.5</v>
      </c>
      <c r="C10" s="8">
        <f>SUMIF(Cronograma!$B$4:'Cronograma'!$B$51,2,Cronograma!$L$4:'Cronograma'!$L$51)</f>
        <v>77062.5</v>
      </c>
      <c r="D10" s="8">
        <f>SUMIF(Cronograma!$B$4:'Cronograma'!$B$51,3,Cronograma!$L$4:'Cronograma'!$L$51)</f>
        <v>25432.37999999999</v>
      </c>
      <c r="E10" s="8">
        <f>SUMIF(Cronograma!$B$4:'Cronograma'!$B$51,4,Cronograma!$L$4:'Cronograma'!$L$51)</f>
        <v>9232.3799999999992</v>
      </c>
      <c r="F10" s="9">
        <f t="shared" si="0"/>
        <v>243539.76</v>
      </c>
    </row>
    <row r="11" spans="1:6" ht="16" customHeight="1" x14ac:dyDescent="0.2">
      <c r="A11" s="15" t="s">
        <v>15</v>
      </c>
      <c r="B11" s="13">
        <f>SUMIF(Cronograma!$B$4:'Cronograma'!$B$51,1,Cronograma!$M$4:'Cronograma'!$M$51)</f>
        <v>4525562.5</v>
      </c>
      <c r="C11" s="13">
        <f>SUMIF(Cronograma!$B$4:'Cronograma'!$B$51,2,Cronograma!$M$4:'Cronograma'!$M$51)</f>
        <v>2645812.5</v>
      </c>
      <c r="D11" s="13">
        <f>SUMIF(Cronograma!$B$4:'Cronograma'!$B$51,3,Cronograma!$M$4:'Cronograma'!$M$51)</f>
        <v>873178.38</v>
      </c>
      <c r="E11" s="13">
        <f>SUMIF(Cronograma!$B$4:'Cronograma'!$B$51,4,Cronograma!$M$4:'Cronograma'!$M$51)</f>
        <v>316978.37999999995</v>
      </c>
      <c r="F11" s="14">
        <f t="shared" si="0"/>
        <v>8361531.7599999998</v>
      </c>
    </row>
    <row r="12" spans="1:6" ht="16" customHeight="1" x14ac:dyDescent="0.2">
      <c r="A12" s="12" t="s">
        <v>16</v>
      </c>
      <c r="B12" s="13">
        <f>SUMIF(Cronograma!$B$4:'Cronograma'!$B$51,1,Cronograma!$N$4:'Cronograma'!$N$51)</f>
        <v>255687.5</v>
      </c>
      <c r="C12" s="13">
        <f>SUMIF(Cronograma!$B$4:'Cronograma'!$B$51,2,Cronograma!$N$4:'Cronograma'!$N$51)</f>
        <v>3980437.5</v>
      </c>
      <c r="D12" s="13">
        <f>SUMIF(Cronograma!$B$4:'Cronograma'!$B$51,3,Cronograma!$N$4:'Cronograma'!$N$51)</f>
        <v>6023071.6199999982</v>
      </c>
      <c r="E12" s="13">
        <f>SUMIF(Cronograma!$B$4:'Cronograma'!$B$51,4,Cronograma!$N$4:'Cronograma'!$N$51)</f>
        <v>425521.62000000011</v>
      </c>
      <c r="F12" s="14">
        <f t="shared" si="0"/>
        <v>10684718.239999998</v>
      </c>
    </row>
    <row r="13" spans="1:6" ht="16" customHeight="1" x14ac:dyDescent="0.2">
      <c r="A13" s="4" t="s">
        <v>17</v>
      </c>
      <c r="B13" s="10">
        <f>SUMIF(Cronograma!$B$4:'Cronograma'!$B$51,1,Cronograma!$O$4:'Cronograma'!$O$51)</f>
        <v>552507.81249999988</v>
      </c>
      <c r="C13" s="10">
        <f>SUMIF(Cronograma!$B$4:'Cronograma'!$B$51,2,Cronograma!$O$4:'Cronograma'!$O$51)</f>
        <v>1393153.125</v>
      </c>
      <c r="D13" s="10">
        <f>SUMIF(Cronograma!$B$4:'Cronograma'!$B$51,3,Cronograma!$O$4:'Cronograma'!$O$51)</f>
        <v>2108075.0670000003</v>
      </c>
      <c r="E13" s="10">
        <f>SUMIF(Cronograma!$B$4:'Cronograma'!$B$51,4,Cronograma!$O$4:'Cronograma'!$O$51)</f>
        <v>148932.56700000004</v>
      </c>
      <c r="F13" s="11">
        <f t="shared" si="0"/>
        <v>4202668.5715000005</v>
      </c>
    </row>
    <row r="14" spans="1:6" ht="16" customHeight="1" x14ac:dyDescent="0.2">
      <c r="A14" s="7" t="s">
        <v>18</v>
      </c>
      <c r="B14" s="8">
        <f>SUMIF(Cronograma!$B$4:'Cronograma'!$B$51,1,Cronograma!$Q$4:'Cronograma'!$Q$51)</f>
        <v>382500</v>
      </c>
      <c r="C14" s="8">
        <f>SUMIF(Cronograma!$B$4:'Cronograma'!$B$51,2,Cronograma!$Q$4:'Cronograma'!$Q$51)</f>
        <v>530100</v>
      </c>
      <c r="D14" s="8">
        <f>SUMIF(Cronograma!$B$4:'Cronograma'!$B$51,3,Cronograma!$Q$4:'Cronograma'!$Q$51)</f>
        <v>551700</v>
      </c>
      <c r="E14" s="8">
        <f>SUMIF(Cronograma!$B$4:'Cronograma'!$B$51,4,Cronograma!$Q$4:'Cronograma'!$Q$51)</f>
        <v>59400.000000000007</v>
      </c>
      <c r="F14" s="9">
        <f t="shared" si="0"/>
        <v>1523700</v>
      </c>
    </row>
    <row r="15" spans="1:6" ht="16" customHeight="1" x14ac:dyDescent="0.2">
      <c r="A15" s="4" t="s">
        <v>19</v>
      </c>
      <c r="B15" s="10">
        <f>SUMIF(Cronograma!$B$4:'Cronograma'!$B$51,1,Cronograma!$R$4:'Cronograma'!$R$51)</f>
        <v>299398.87223276618</v>
      </c>
      <c r="C15" s="10">
        <f>SUMIF(Cronograma!$B$4:'Cronograma'!$B$51,2,Cronograma!$R$4:'Cronograma'!$R$51)</f>
        <v>260434.13919289623</v>
      </c>
      <c r="D15" s="10">
        <f>SUMIF(Cronograma!$B$4:'Cronograma'!$B$51,3,Cronograma!$R$4:'Cronograma'!$R$51)</f>
        <v>2729.5342338849382</v>
      </c>
      <c r="E15" s="10">
        <f>SUMIF(Cronograma!$B$4:'Cronograma'!$B$51,4,Cronograma!$R$4:'Cronograma'!$R$51)</f>
        <v>0</v>
      </c>
      <c r="F15" s="11">
        <f t="shared" si="0"/>
        <v>562562.54565954732</v>
      </c>
    </row>
    <row r="16" spans="1:6" ht="16" customHeight="1" x14ac:dyDescent="0.2">
      <c r="A16" s="12" t="s">
        <v>20</v>
      </c>
      <c r="B16" s="13">
        <f>SUMIF(Cronograma!$B$4:'Cronograma'!$B$51,1,Cronograma!$S$4:'Cronograma'!$S$51)</f>
        <v>-978719.18473276624</v>
      </c>
      <c r="C16" s="13">
        <f>SUMIF(Cronograma!$B$4:'Cronograma'!$B$51,2,Cronograma!$S$4:'Cronograma'!$S$51)</f>
        <v>1796750.2358071038</v>
      </c>
      <c r="D16" s="13">
        <f>SUMIF(Cronograma!$B$4:'Cronograma'!$B$51,3,Cronograma!$S$4:'Cronograma'!$S$51)</f>
        <v>3360567.0187661145</v>
      </c>
      <c r="E16" s="13">
        <f>SUMIF(Cronograma!$B$4:'Cronograma'!$B$51,4,Cronograma!$S$4:'Cronograma'!$S$51)</f>
        <v>217189.05300000007</v>
      </c>
      <c r="F16" s="14">
        <f t="shared" si="0"/>
        <v>4395787.122840452</v>
      </c>
    </row>
    <row r="17" spans="1:6" ht="16" customHeight="1" x14ac:dyDescent="0.2">
      <c r="A17" s="15" t="s">
        <v>21</v>
      </c>
      <c r="B17" s="13">
        <f>Cronograma!$T$15</f>
        <v>-1978719.1847327664</v>
      </c>
      <c r="C17" s="13">
        <f>Cronograma!$T$27</f>
        <v>-181968.94892566255</v>
      </c>
      <c r="D17" s="13">
        <f>Cronograma!$T$39</f>
        <v>3178598.0698404522</v>
      </c>
      <c r="E17" s="13">
        <f>Cronograma!$T$51</f>
        <v>3395787.1228404515</v>
      </c>
      <c r="F17" s="14">
        <f>Cronograma!$T$51</f>
        <v>3395787.1228404515</v>
      </c>
    </row>
    <row r="19" spans="1:6" ht="20" customHeight="1" x14ac:dyDescent="0.2">
      <c r="A19" s="57" t="s">
        <v>22</v>
      </c>
      <c r="B19" s="55"/>
      <c r="C19" s="55"/>
      <c r="D19" s="55"/>
      <c r="E19" s="55"/>
      <c r="F19" s="55"/>
    </row>
    <row r="20" spans="1:6" ht="16" customHeight="1" x14ac:dyDescent="0.2">
      <c r="A20" s="7" t="s">
        <v>23</v>
      </c>
      <c r="B20" s="54">
        <f>Parâmetros!$B$6</f>
        <v>22500000</v>
      </c>
      <c r="C20" s="55"/>
      <c r="D20" s="55"/>
      <c r="E20" s="55"/>
      <c r="F20" s="55"/>
    </row>
    <row r="21" spans="1:6" ht="16" customHeight="1" x14ac:dyDescent="0.2">
      <c r="A21" s="4" t="s">
        <v>24</v>
      </c>
      <c r="B21" s="54">
        <f>Parâmetros!$B$4</f>
        <v>75000</v>
      </c>
      <c r="C21" s="55"/>
      <c r="D21" s="55"/>
      <c r="E21" s="55"/>
      <c r="F21" s="55"/>
    </row>
    <row r="22" spans="1:6" ht="16" customHeight="1" x14ac:dyDescent="0.2">
      <c r="A22" s="7" t="s">
        <v>25</v>
      </c>
      <c r="B22" s="59">
        <f>Parâmetros!$B$5</f>
        <v>300</v>
      </c>
      <c r="C22" s="55"/>
      <c r="D22" s="55"/>
      <c r="E22" s="55"/>
      <c r="F22" s="55"/>
    </row>
    <row r="23" spans="1:6" ht="16" customHeight="1" x14ac:dyDescent="0.2">
      <c r="A23" s="4" t="s">
        <v>26</v>
      </c>
      <c r="B23" s="56">
        <f>Parâmetros!$B$18</f>
        <v>0.65</v>
      </c>
      <c r="C23" s="55"/>
      <c r="D23" s="55"/>
      <c r="E23" s="55"/>
      <c r="F23" s="55"/>
    </row>
    <row r="24" spans="1:6" ht="16" customHeight="1" x14ac:dyDescent="0.2">
      <c r="A24" s="7" t="s">
        <v>27</v>
      </c>
      <c r="B24" s="56">
        <f>Parâmetros!$B$19</f>
        <v>0.35</v>
      </c>
      <c r="C24" s="55"/>
      <c r="D24" s="55"/>
      <c r="E24" s="55"/>
      <c r="F24" s="55"/>
    </row>
    <row r="25" spans="1:6" ht="16" customHeight="1" x14ac:dyDescent="0.2">
      <c r="A25" s="4" t="s">
        <v>28</v>
      </c>
      <c r="B25" s="54">
        <f>Parâmetros!$B$21</f>
        <v>1000000</v>
      </c>
      <c r="C25" s="55"/>
      <c r="D25" s="55"/>
      <c r="E25" s="55"/>
      <c r="F25" s="55"/>
    </row>
    <row r="26" spans="1:6" ht="16" customHeight="1" x14ac:dyDescent="0.2">
      <c r="A26" s="7" t="s">
        <v>29</v>
      </c>
      <c r="B26" s="54">
        <f>Parâmetros!$B$24</f>
        <v>7000000</v>
      </c>
      <c r="C26" s="55"/>
      <c r="D26" s="55"/>
      <c r="E26" s="55"/>
      <c r="F26" s="55"/>
    </row>
  </sheetData>
  <mergeCells count="9">
    <mergeCell ref="B25:F25"/>
    <mergeCell ref="B23:F23"/>
    <mergeCell ref="B22:F22"/>
    <mergeCell ref="B26:F26"/>
    <mergeCell ref="B21:F21"/>
    <mergeCell ref="B24:F24"/>
    <mergeCell ref="A19:F19"/>
    <mergeCell ref="B20:F2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zoomScale="150" zoomScaleNormal="150" workbookViewId="0">
      <selection activeCell="B25" sqref="B25"/>
    </sheetView>
  </sheetViews>
  <sheetFormatPr baseColWidth="10" defaultColWidth="8.83203125" defaultRowHeight="15" x14ac:dyDescent="0.2"/>
  <cols>
    <col min="1" max="1" width="42" customWidth="1"/>
    <col min="2" max="2" width="22" customWidth="1"/>
    <col min="3" max="3" width="14" customWidth="1"/>
    <col min="4" max="4" width="35" customWidth="1"/>
  </cols>
  <sheetData>
    <row r="1" spans="1:4" ht="26" customHeight="1" x14ac:dyDescent="0.2">
      <c r="A1" s="60" t="s">
        <v>30</v>
      </c>
      <c r="B1" s="55"/>
      <c r="C1" s="55"/>
      <c r="D1" s="55"/>
    </row>
    <row r="2" spans="1:4" ht="15" customHeight="1" x14ac:dyDescent="0.2">
      <c r="A2" s="63" t="s">
        <v>31</v>
      </c>
      <c r="B2" s="55"/>
      <c r="C2" s="55"/>
      <c r="D2" s="55"/>
    </row>
    <row r="3" spans="1:4" ht="18" customHeight="1" x14ac:dyDescent="0.2">
      <c r="A3" s="61" t="s">
        <v>32</v>
      </c>
      <c r="B3" s="55"/>
      <c r="C3" s="55"/>
      <c r="D3" s="55"/>
    </row>
    <row r="4" spans="1:4" ht="17" customHeight="1" x14ac:dyDescent="0.2">
      <c r="A4" s="16" t="s">
        <v>33</v>
      </c>
      <c r="B4" s="17">
        <v>75000</v>
      </c>
      <c r="C4" s="18" t="s">
        <v>34</v>
      </c>
      <c r="D4" s="19" t="s">
        <v>35</v>
      </c>
    </row>
    <row r="5" spans="1:4" ht="17" customHeight="1" x14ac:dyDescent="0.2">
      <c r="A5" s="20" t="s">
        <v>25</v>
      </c>
      <c r="B5" s="21">
        <v>300</v>
      </c>
      <c r="C5" s="22" t="s">
        <v>36</v>
      </c>
      <c r="D5" s="23" t="s">
        <v>37</v>
      </c>
    </row>
    <row r="6" spans="1:4" ht="17" customHeight="1" x14ac:dyDescent="0.2">
      <c r="A6" s="16" t="s">
        <v>38</v>
      </c>
      <c r="B6" s="24">
        <f>B4*B5</f>
        <v>22500000</v>
      </c>
      <c r="C6" s="18" t="s">
        <v>34</v>
      </c>
      <c r="D6" s="19" t="s">
        <v>39</v>
      </c>
    </row>
    <row r="7" spans="1:4" ht="18" customHeight="1" x14ac:dyDescent="0.2">
      <c r="A7" s="61" t="s">
        <v>40</v>
      </c>
      <c r="B7" s="55"/>
      <c r="C7" s="55"/>
      <c r="D7" s="55"/>
    </row>
    <row r="8" spans="1:4" ht="17" customHeight="1" x14ac:dyDescent="0.2">
      <c r="A8" s="16" t="s">
        <v>41</v>
      </c>
      <c r="B8" s="25">
        <v>0.7</v>
      </c>
      <c r="C8" s="18"/>
      <c r="D8" s="19" t="s">
        <v>42</v>
      </c>
    </row>
    <row r="9" spans="1:4" ht="17" customHeight="1" x14ac:dyDescent="0.2">
      <c r="A9" s="20" t="s">
        <v>43</v>
      </c>
      <c r="B9" s="26">
        <f>1-B8</f>
        <v>0.30000000000000004</v>
      </c>
      <c r="C9" s="22"/>
      <c r="D9" s="23" t="s">
        <v>39</v>
      </c>
    </row>
    <row r="10" spans="1:4" ht="17" customHeight="1" x14ac:dyDescent="0.2">
      <c r="A10" s="16" t="s">
        <v>44</v>
      </c>
      <c r="B10" s="21">
        <v>120</v>
      </c>
      <c r="C10" s="18" t="s">
        <v>45</v>
      </c>
      <c r="D10" s="19" t="s">
        <v>46</v>
      </c>
    </row>
    <row r="11" spans="1:4" ht="17" customHeight="1" x14ac:dyDescent="0.2">
      <c r="A11" s="20" t="s">
        <v>47</v>
      </c>
      <c r="B11" s="27">
        <f>B4*B9/B10</f>
        <v>187.50000000000003</v>
      </c>
      <c r="C11" s="22" t="s">
        <v>48</v>
      </c>
      <c r="D11" s="23" t="s">
        <v>39</v>
      </c>
    </row>
    <row r="12" spans="1:4" ht="18" customHeight="1" x14ac:dyDescent="0.2">
      <c r="A12" s="61" t="s">
        <v>49</v>
      </c>
      <c r="B12" s="55"/>
      <c r="C12" s="55"/>
      <c r="D12" s="55"/>
    </row>
    <row r="13" spans="1:4" ht="17" customHeight="1" x14ac:dyDescent="0.2">
      <c r="A13" s="20" t="s">
        <v>50</v>
      </c>
      <c r="B13" s="25">
        <v>0.06</v>
      </c>
      <c r="C13" s="22" t="s">
        <v>51</v>
      </c>
      <c r="D13" s="23" t="s">
        <v>52</v>
      </c>
    </row>
    <row r="14" spans="1:4" ht="17" customHeight="1" x14ac:dyDescent="0.2">
      <c r="A14" s="16" t="s">
        <v>53</v>
      </c>
      <c r="B14" s="25">
        <v>0.03</v>
      </c>
      <c r="C14" s="18" t="s">
        <v>54</v>
      </c>
      <c r="D14" s="19" t="s">
        <v>55</v>
      </c>
    </row>
    <row r="15" spans="1:4" ht="17" customHeight="1" x14ac:dyDescent="0.2">
      <c r="A15" s="20" t="s">
        <v>56</v>
      </c>
      <c r="B15" s="25">
        <v>0.02</v>
      </c>
      <c r="C15" s="22" t="s">
        <v>54</v>
      </c>
      <c r="D15" s="23" t="s">
        <v>57</v>
      </c>
    </row>
    <row r="16" spans="1:4" ht="17" customHeight="1" x14ac:dyDescent="0.2">
      <c r="A16" s="16" t="s">
        <v>58</v>
      </c>
      <c r="B16" s="25">
        <v>0.03</v>
      </c>
      <c r="C16" s="18" t="s">
        <v>59</v>
      </c>
      <c r="D16" s="19" t="s">
        <v>60</v>
      </c>
    </row>
    <row r="17" spans="1:4" ht="17" customHeight="1" x14ac:dyDescent="0.2">
      <c r="A17" s="20" t="s">
        <v>61</v>
      </c>
      <c r="B17" s="25">
        <v>0.08</v>
      </c>
      <c r="C17" s="22" t="s">
        <v>62</v>
      </c>
      <c r="D17" s="23" t="s">
        <v>63</v>
      </c>
    </row>
    <row r="18" spans="1:4" ht="17" customHeight="1" x14ac:dyDescent="0.2">
      <c r="A18" s="16" t="s">
        <v>26</v>
      </c>
      <c r="B18" s="25">
        <v>0.65</v>
      </c>
      <c r="C18" s="18"/>
      <c r="D18" s="19" t="s">
        <v>64</v>
      </c>
    </row>
    <row r="19" spans="1:4" ht="17" customHeight="1" x14ac:dyDescent="0.2">
      <c r="A19" s="20" t="s">
        <v>27</v>
      </c>
      <c r="B19" s="26">
        <f>1-B18</f>
        <v>0.35</v>
      </c>
      <c r="C19" s="22"/>
      <c r="D19" s="23" t="s">
        <v>39</v>
      </c>
    </row>
    <row r="20" spans="1:4" ht="18" customHeight="1" x14ac:dyDescent="0.2">
      <c r="A20" s="61" t="s">
        <v>65</v>
      </c>
      <c r="B20" s="55"/>
      <c r="C20" s="55"/>
      <c r="D20" s="55"/>
    </row>
    <row r="21" spans="1:4" ht="17" customHeight="1" x14ac:dyDescent="0.2">
      <c r="A21" s="20" t="s">
        <v>66</v>
      </c>
      <c r="B21" s="17">
        <v>1000000</v>
      </c>
      <c r="C21" s="22" t="s">
        <v>34</v>
      </c>
      <c r="D21" s="23" t="s">
        <v>67</v>
      </c>
    </row>
    <row r="22" spans="1:4" ht="17" customHeight="1" x14ac:dyDescent="0.2">
      <c r="A22" s="16" t="s">
        <v>68</v>
      </c>
      <c r="B22" s="25">
        <v>1.4999999999999999E-2</v>
      </c>
      <c r="C22" s="18" t="s">
        <v>69</v>
      </c>
      <c r="D22" s="19" t="s">
        <v>70</v>
      </c>
    </row>
    <row r="23" spans="1:4" ht="18" customHeight="1" x14ac:dyDescent="0.2">
      <c r="A23" s="61" t="s">
        <v>71</v>
      </c>
      <c r="B23" s="55"/>
      <c r="C23" s="55"/>
      <c r="D23" s="55"/>
    </row>
    <row r="24" spans="1:4" ht="17" customHeight="1" x14ac:dyDescent="0.2">
      <c r="A24" s="16" t="s">
        <v>72</v>
      </c>
      <c r="B24" s="17">
        <v>7000000</v>
      </c>
      <c r="C24" s="18" t="s">
        <v>34</v>
      </c>
      <c r="D24" s="19" t="s">
        <v>73</v>
      </c>
    </row>
    <row r="26" spans="1:4" ht="30" customHeight="1" x14ac:dyDescent="0.2">
      <c r="A26" s="62" t="s">
        <v>74</v>
      </c>
      <c r="B26" s="55"/>
      <c r="C26" s="55"/>
      <c r="D26" s="55"/>
    </row>
  </sheetData>
  <mergeCells count="8">
    <mergeCell ref="A26:D26"/>
    <mergeCell ref="A7:D7"/>
    <mergeCell ref="A2:D2"/>
    <mergeCell ref="A1:D1"/>
    <mergeCell ref="A23:D23"/>
    <mergeCell ref="A12:D12"/>
    <mergeCell ref="A3:D3"/>
    <mergeCell ref="A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"/>
  <sheetViews>
    <sheetView zoomScale="120" zoomScaleNormal="120" workbookViewId="0">
      <pane xSplit="3" ySplit="3" topLeftCell="G4" activePane="bottomRight" state="frozen"/>
      <selection pane="topRight"/>
      <selection pane="bottomLeft"/>
      <selection pane="bottomRight" sqref="A1:T1"/>
    </sheetView>
  </sheetViews>
  <sheetFormatPr baseColWidth="10" defaultColWidth="8.83203125" defaultRowHeight="15" x14ac:dyDescent="0.2"/>
  <cols>
    <col min="1" max="1" width="8" customWidth="1"/>
    <col min="2" max="2" width="6" customWidth="1"/>
    <col min="3" max="3" width="13" customWidth="1"/>
    <col min="4" max="4" width="10" customWidth="1"/>
    <col min="5" max="5" width="16" customWidth="1"/>
    <col min="6" max="6" width="14" customWidth="1"/>
    <col min="7" max="7" width="16" customWidth="1"/>
    <col min="8" max="8" width="18" customWidth="1"/>
    <col min="9" max="9" width="16" customWidth="1"/>
    <col min="10" max="10" width="13" customWidth="1"/>
    <col min="11" max="11" width="14" customWidth="1"/>
    <col min="12" max="12" width="13" customWidth="1"/>
    <col min="13" max="13" width="15" customWidth="1"/>
    <col min="14" max="14" width="16" customWidth="1"/>
    <col min="15" max="15" width="15" customWidth="1"/>
    <col min="16" max="16" width="16" customWidth="1"/>
    <col min="17" max="17" width="13" customWidth="1"/>
    <col min="18" max="19" width="16" customWidth="1"/>
    <col min="20" max="20" width="18" customWidth="1"/>
  </cols>
  <sheetData>
    <row r="1" spans="1:20" ht="22" customHeight="1" x14ac:dyDescent="0.2">
      <c r="A1" s="64" t="s">
        <v>75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14" customHeight="1" x14ac:dyDescent="0.2">
      <c r="A2" s="67" t="s">
        <v>76</v>
      </c>
      <c r="B2" s="55"/>
      <c r="C2" s="55"/>
      <c r="D2" s="65" t="s">
        <v>77</v>
      </c>
      <c r="E2" s="55"/>
      <c r="F2" s="55"/>
      <c r="G2" s="66" t="s">
        <v>78</v>
      </c>
      <c r="H2" s="55"/>
      <c r="I2" s="55"/>
      <c r="J2" s="68" t="s">
        <v>79</v>
      </c>
      <c r="K2" s="55"/>
      <c r="L2" s="55"/>
      <c r="M2" s="55"/>
      <c r="N2" s="67" t="s">
        <v>80</v>
      </c>
      <c r="O2" s="55"/>
      <c r="P2" s="55"/>
      <c r="Q2" s="65" t="s">
        <v>81</v>
      </c>
      <c r="R2" s="55"/>
      <c r="S2" s="55"/>
      <c r="T2" s="55"/>
    </row>
    <row r="3" spans="1:20" ht="30" customHeight="1" x14ac:dyDescent="0.2">
      <c r="A3" s="28" t="s">
        <v>82</v>
      </c>
      <c r="B3" s="28" t="s">
        <v>83</v>
      </c>
      <c r="C3" s="28" t="s">
        <v>84</v>
      </c>
      <c r="D3" s="29" t="s">
        <v>85</v>
      </c>
      <c r="E3" s="29" t="s">
        <v>86</v>
      </c>
      <c r="F3" s="29" t="s">
        <v>87</v>
      </c>
      <c r="G3" s="30" t="s">
        <v>88</v>
      </c>
      <c r="H3" s="30" t="s">
        <v>89</v>
      </c>
      <c r="I3" s="30" t="s">
        <v>90</v>
      </c>
      <c r="J3" s="31" t="s">
        <v>91</v>
      </c>
      <c r="K3" s="31" t="s">
        <v>92</v>
      </c>
      <c r="L3" s="31" t="s">
        <v>93</v>
      </c>
      <c r="M3" s="31" t="s">
        <v>94</v>
      </c>
      <c r="N3" s="28" t="s">
        <v>95</v>
      </c>
      <c r="O3" s="28" t="s">
        <v>96</v>
      </c>
      <c r="P3" s="28" t="s">
        <v>97</v>
      </c>
      <c r="Q3" s="29" t="s">
        <v>98</v>
      </c>
      <c r="R3" s="29" t="s">
        <v>99</v>
      </c>
      <c r="S3" s="29" t="s">
        <v>100</v>
      </c>
      <c r="T3" s="29" t="s">
        <v>101</v>
      </c>
    </row>
    <row r="4" spans="1:20" ht="15" customHeight="1" x14ac:dyDescent="0.2">
      <c r="A4" s="32">
        <v>1</v>
      </c>
      <c r="B4" s="33">
        <f t="shared" ref="B4:B51" si="0">INT((A4-1)/12)+1</f>
        <v>1</v>
      </c>
      <c r="C4" s="4" t="s">
        <v>102</v>
      </c>
      <c r="D4" s="33">
        <v>0</v>
      </c>
      <c r="E4" s="34">
        <v>50000</v>
      </c>
      <c r="F4" s="34">
        <v>0</v>
      </c>
      <c r="G4" s="35">
        <f>D4*Parâmetros!$B$4*Parâmetros!$B$8</f>
        <v>0</v>
      </c>
      <c r="H4" s="35">
        <v>0</v>
      </c>
      <c r="I4" s="11">
        <f t="shared" ref="I4:I51" si="1">G4+H4</f>
        <v>0</v>
      </c>
      <c r="J4" s="35">
        <f>D4*Parâmetros!$B$4*Parâmetros!$B$13</f>
        <v>0</v>
      </c>
      <c r="K4" s="35">
        <f>Parâmetros!$B$6*Parâmetros!$B$14/48</f>
        <v>14062.5</v>
      </c>
      <c r="L4" s="35">
        <f>(E4+F4+J4+K4)*Parâmetros!$B$16</f>
        <v>1921.875</v>
      </c>
      <c r="M4" s="36">
        <f t="shared" ref="M4:M51" si="2">E4+F4+J4+K4+L4</f>
        <v>65984.375</v>
      </c>
      <c r="N4" s="11">
        <f t="shared" ref="N4:N51" si="3">I4-M4</f>
        <v>-65984.375</v>
      </c>
      <c r="O4" s="35">
        <f>MAX(0,N4)*Parâmetros!$B$19</f>
        <v>0</v>
      </c>
      <c r="P4" s="11">
        <f t="shared" ref="P4:P51" si="4">N4-O4</f>
        <v>-65984.375</v>
      </c>
      <c r="Q4" s="35">
        <f>I4*Parâmetros!$B$17</f>
        <v>0</v>
      </c>
      <c r="R4" s="35">
        <f>Parâmetros!$B$21*Parâmetros!$B$22</f>
        <v>15000</v>
      </c>
      <c r="S4" s="11">
        <f t="shared" ref="S4:S51" si="5">P4-Q4-R4</f>
        <v>-80984.375</v>
      </c>
      <c r="T4" s="11">
        <f>S4-Parâmetros!$B$21</f>
        <v>-1080984.375</v>
      </c>
    </row>
    <row r="5" spans="1:20" ht="15" customHeight="1" x14ac:dyDescent="0.2">
      <c r="A5" s="37">
        <v>2</v>
      </c>
      <c r="B5" s="38">
        <f t="shared" si="0"/>
        <v>1</v>
      </c>
      <c r="C5" s="7" t="s">
        <v>103</v>
      </c>
      <c r="D5" s="38">
        <v>0</v>
      </c>
      <c r="E5" s="34">
        <v>100000</v>
      </c>
      <c r="F5" s="34">
        <v>0</v>
      </c>
      <c r="G5" s="39">
        <f>D5*Parâmetros!$B$4*Parâmetros!$B$8</f>
        <v>0</v>
      </c>
      <c r="H5" s="39">
        <f>SUMPRODUCT(($D$4:D4)*($A$4:A4&gt;=(A5-Parâmetros!$B$10)))*Parâmetros!$B$11</f>
        <v>0</v>
      </c>
      <c r="I5" s="9">
        <f t="shared" si="1"/>
        <v>0</v>
      </c>
      <c r="J5" s="39">
        <f>D5*Parâmetros!$B$4*Parâmetros!$B$13</f>
        <v>0</v>
      </c>
      <c r="K5" s="39">
        <f>Parâmetros!$B$6*Parâmetros!$B$14/48</f>
        <v>14062.5</v>
      </c>
      <c r="L5" s="39">
        <f>(E5+F5+J5+K5)*Parâmetros!$B$16</f>
        <v>3421.875</v>
      </c>
      <c r="M5" s="36">
        <f t="shared" si="2"/>
        <v>117484.375</v>
      </c>
      <c r="N5" s="9">
        <f t="shared" si="3"/>
        <v>-117484.375</v>
      </c>
      <c r="O5" s="39">
        <f>MAX(0,N5)*Parâmetros!$B$19</f>
        <v>0</v>
      </c>
      <c r="P5" s="9">
        <f t="shared" si="4"/>
        <v>-117484.375</v>
      </c>
      <c r="Q5" s="39">
        <f>I5*Parâmetros!$B$17</f>
        <v>0</v>
      </c>
      <c r="R5" s="39">
        <f>MAX(0,-T4)*Parâmetros!$B$22</f>
        <v>16214.765625</v>
      </c>
      <c r="S5" s="9">
        <f t="shared" si="5"/>
        <v>-133699.140625</v>
      </c>
      <c r="T5" s="9">
        <f t="shared" ref="T5:T51" si="6">T4+S5</f>
        <v>-1214683.515625</v>
      </c>
    </row>
    <row r="6" spans="1:20" ht="15" customHeight="1" x14ac:dyDescent="0.2">
      <c r="A6" s="32">
        <v>3</v>
      </c>
      <c r="B6" s="33">
        <f t="shared" si="0"/>
        <v>1</v>
      </c>
      <c r="C6" s="4" t="s">
        <v>104</v>
      </c>
      <c r="D6" s="33">
        <v>0</v>
      </c>
      <c r="E6" s="34">
        <v>100000</v>
      </c>
      <c r="F6" s="34">
        <v>0</v>
      </c>
      <c r="G6" s="35">
        <f>D6*Parâmetros!$B$4*Parâmetros!$B$8</f>
        <v>0</v>
      </c>
      <c r="H6" s="35">
        <f>SUMPRODUCT(($D$4:D5)*($A$4:A5&gt;=(A6-Parâmetros!$B$10)))*Parâmetros!$B$11</f>
        <v>0</v>
      </c>
      <c r="I6" s="11">
        <f t="shared" si="1"/>
        <v>0</v>
      </c>
      <c r="J6" s="35">
        <f>D6*Parâmetros!$B$4*Parâmetros!$B$13</f>
        <v>0</v>
      </c>
      <c r="K6" s="35">
        <f>Parâmetros!$B$6*Parâmetros!$B$14/48</f>
        <v>14062.5</v>
      </c>
      <c r="L6" s="35">
        <f>(E6+F6+J6+K6)*Parâmetros!$B$16</f>
        <v>3421.875</v>
      </c>
      <c r="M6" s="36">
        <f t="shared" si="2"/>
        <v>117484.375</v>
      </c>
      <c r="N6" s="11">
        <f t="shared" si="3"/>
        <v>-117484.375</v>
      </c>
      <c r="O6" s="35">
        <f>MAX(0,N6)*Parâmetros!$B$19</f>
        <v>0</v>
      </c>
      <c r="P6" s="11">
        <f t="shared" si="4"/>
        <v>-117484.375</v>
      </c>
      <c r="Q6" s="35">
        <f>I6*Parâmetros!$B$17</f>
        <v>0</v>
      </c>
      <c r="R6" s="35">
        <f>MAX(0,-T5)*Parâmetros!$B$22</f>
        <v>18220.252734375001</v>
      </c>
      <c r="S6" s="11">
        <f t="shared" si="5"/>
        <v>-135704.62773437501</v>
      </c>
      <c r="T6" s="11">
        <f t="shared" si="6"/>
        <v>-1350388.143359375</v>
      </c>
    </row>
    <row r="7" spans="1:20" ht="15" customHeight="1" x14ac:dyDescent="0.2">
      <c r="A7" s="37">
        <v>4</v>
      </c>
      <c r="B7" s="38">
        <f t="shared" si="0"/>
        <v>1</v>
      </c>
      <c r="C7" s="7" t="s">
        <v>105</v>
      </c>
      <c r="D7" s="38">
        <v>0</v>
      </c>
      <c r="E7" s="34">
        <v>200000</v>
      </c>
      <c r="F7" s="34">
        <v>0</v>
      </c>
      <c r="G7" s="39">
        <f>D7*Parâmetros!$B$4*Parâmetros!$B$8</f>
        <v>0</v>
      </c>
      <c r="H7" s="39">
        <f>SUMPRODUCT(($D$4:D6)*($A$4:A6&gt;=(A7-Parâmetros!$B$10)))*Parâmetros!$B$11</f>
        <v>0</v>
      </c>
      <c r="I7" s="9">
        <f t="shared" si="1"/>
        <v>0</v>
      </c>
      <c r="J7" s="39">
        <f>D7*Parâmetros!$B$4*Parâmetros!$B$13</f>
        <v>0</v>
      </c>
      <c r="K7" s="39">
        <f>Parâmetros!$B$6*Parâmetros!$B$14/48</f>
        <v>14062.5</v>
      </c>
      <c r="L7" s="39">
        <f>(E7+F7+J7+K7)*Parâmetros!$B$16</f>
        <v>6421.875</v>
      </c>
      <c r="M7" s="36">
        <f t="shared" si="2"/>
        <v>220484.375</v>
      </c>
      <c r="N7" s="9">
        <f t="shared" si="3"/>
        <v>-220484.375</v>
      </c>
      <c r="O7" s="39">
        <f>MAX(0,N7)*Parâmetros!$B$19</f>
        <v>0</v>
      </c>
      <c r="P7" s="9">
        <f t="shared" si="4"/>
        <v>-220484.375</v>
      </c>
      <c r="Q7" s="39">
        <f>I7*Parâmetros!$B$17</f>
        <v>0</v>
      </c>
      <c r="R7" s="39">
        <f>MAX(0,-T6)*Parâmetros!$B$22</f>
        <v>20255.822150390624</v>
      </c>
      <c r="S7" s="9">
        <f t="shared" si="5"/>
        <v>-240740.19715039062</v>
      </c>
      <c r="T7" s="9">
        <f t="shared" si="6"/>
        <v>-1591128.3405097655</v>
      </c>
    </row>
    <row r="8" spans="1:20" ht="15" customHeight="1" x14ac:dyDescent="0.2">
      <c r="A8" s="32">
        <v>5</v>
      </c>
      <c r="B8" s="33">
        <f t="shared" si="0"/>
        <v>1</v>
      </c>
      <c r="C8" s="4" t="s">
        <v>106</v>
      </c>
      <c r="D8" s="33">
        <v>0</v>
      </c>
      <c r="E8" s="34">
        <v>300000</v>
      </c>
      <c r="F8" s="34">
        <v>50000</v>
      </c>
      <c r="G8" s="35">
        <f>D8*Parâmetros!$B$4*Parâmetros!$B$8</f>
        <v>0</v>
      </c>
      <c r="H8" s="35">
        <f>SUMPRODUCT(($D$4:D7)*($A$4:A7&gt;=(A8-Parâmetros!$B$10)))*Parâmetros!$B$11</f>
        <v>0</v>
      </c>
      <c r="I8" s="11">
        <f t="shared" si="1"/>
        <v>0</v>
      </c>
      <c r="J8" s="35">
        <f>D8*Parâmetros!$B$4*Parâmetros!$B$13</f>
        <v>0</v>
      </c>
      <c r="K8" s="35">
        <f>Parâmetros!$B$6*Parâmetros!$B$14/48</f>
        <v>14062.5</v>
      </c>
      <c r="L8" s="35">
        <f>(E8+F8+J8+K8)*Parâmetros!$B$16</f>
        <v>10921.875</v>
      </c>
      <c r="M8" s="36">
        <f t="shared" si="2"/>
        <v>374984.375</v>
      </c>
      <c r="N8" s="11">
        <f t="shared" si="3"/>
        <v>-374984.375</v>
      </c>
      <c r="O8" s="35">
        <f>MAX(0,N8)*Parâmetros!$B$19</f>
        <v>0</v>
      </c>
      <c r="P8" s="11">
        <f t="shared" si="4"/>
        <v>-374984.375</v>
      </c>
      <c r="Q8" s="35">
        <f>I8*Parâmetros!$B$17</f>
        <v>0</v>
      </c>
      <c r="R8" s="35">
        <f>MAX(0,-T7)*Parâmetros!$B$22</f>
        <v>23866.925107646483</v>
      </c>
      <c r="S8" s="11">
        <f t="shared" si="5"/>
        <v>-398851.3001076465</v>
      </c>
      <c r="T8" s="11">
        <f t="shared" si="6"/>
        <v>-1989979.640617412</v>
      </c>
    </row>
    <row r="9" spans="1:20" ht="15" customHeight="1" x14ac:dyDescent="0.2">
      <c r="A9" s="37">
        <v>6</v>
      </c>
      <c r="B9" s="38">
        <f t="shared" si="0"/>
        <v>1</v>
      </c>
      <c r="C9" s="7" t="s">
        <v>107</v>
      </c>
      <c r="D9" s="38">
        <v>0</v>
      </c>
      <c r="E9" s="34">
        <v>300000</v>
      </c>
      <c r="F9" s="34">
        <v>100000</v>
      </c>
      <c r="G9" s="39">
        <f>D9*Parâmetros!$B$4*Parâmetros!$B$8</f>
        <v>0</v>
      </c>
      <c r="H9" s="39">
        <f>SUMPRODUCT(($D$4:D8)*($A$4:A8&gt;=(A9-Parâmetros!$B$10)))*Parâmetros!$B$11</f>
        <v>0</v>
      </c>
      <c r="I9" s="9">
        <f t="shared" si="1"/>
        <v>0</v>
      </c>
      <c r="J9" s="39">
        <f>D9*Parâmetros!$B$4*Parâmetros!$B$13</f>
        <v>0</v>
      </c>
      <c r="K9" s="39">
        <f>Parâmetros!$B$6*Parâmetros!$B$14/48</f>
        <v>14062.5</v>
      </c>
      <c r="L9" s="39">
        <f>(E9+F9+J9+K9)*Parâmetros!$B$16</f>
        <v>12421.875</v>
      </c>
      <c r="M9" s="36">
        <f t="shared" si="2"/>
        <v>426484.375</v>
      </c>
      <c r="N9" s="9">
        <f t="shared" si="3"/>
        <v>-426484.375</v>
      </c>
      <c r="O9" s="39">
        <f>MAX(0,N9)*Parâmetros!$B$19</f>
        <v>0</v>
      </c>
      <c r="P9" s="9">
        <f t="shared" si="4"/>
        <v>-426484.375</v>
      </c>
      <c r="Q9" s="39">
        <f>I9*Parâmetros!$B$17</f>
        <v>0</v>
      </c>
      <c r="R9" s="39">
        <f>MAX(0,-T8)*Parâmetros!$B$22</f>
        <v>29849.69460926118</v>
      </c>
      <c r="S9" s="9">
        <f t="shared" si="5"/>
        <v>-456334.06960926118</v>
      </c>
      <c r="T9" s="9">
        <f t="shared" si="6"/>
        <v>-2446313.7102266732</v>
      </c>
    </row>
    <row r="10" spans="1:20" ht="15" customHeight="1" x14ac:dyDescent="0.2">
      <c r="A10" s="32">
        <v>7</v>
      </c>
      <c r="B10" s="33">
        <f t="shared" si="0"/>
        <v>1</v>
      </c>
      <c r="C10" s="4" t="s">
        <v>108</v>
      </c>
      <c r="D10" s="40">
        <v>40</v>
      </c>
      <c r="E10" s="34">
        <v>400000</v>
      </c>
      <c r="F10" s="34">
        <v>100000</v>
      </c>
      <c r="G10" s="35">
        <f>D10*Parâmetros!$B$4*Parâmetros!$B$8</f>
        <v>2100000</v>
      </c>
      <c r="H10" s="35">
        <f>SUMPRODUCT(($D$4:D9)*($A$4:A9&gt;=(A10-Parâmetros!$B$10)))*Parâmetros!$B$11</f>
        <v>0</v>
      </c>
      <c r="I10" s="41">
        <f t="shared" si="1"/>
        <v>2100000</v>
      </c>
      <c r="J10" s="35">
        <f>D10*Parâmetros!$B$4*Parâmetros!$B$13</f>
        <v>180000</v>
      </c>
      <c r="K10" s="35">
        <f>Parâmetros!$B$6*Parâmetros!$B$14/48</f>
        <v>14062.5</v>
      </c>
      <c r="L10" s="35">
        <f>(E10+F10+J10+K10)*Parâmetros!$B$16</f>
        <v>20821.875</v>
      </c>
      <c r="M10" s="36">
        <f t="shared" si="2"/>
        <v>714884.375</v>
      </c>
      <c r="N10" s="11">
        <f t="shared" si="3"/>
        <v>1385115.625</v>
      </c>
      <c r="O10" s="35">
        <f>MAX(0,N10)*Parâmetros!$B$19</f>
        <v>484790.46874999994</v>
      </c>
      <c r="P10" s="11">
        <f t="shared" si="4"/>
        <v>900325.15625</v>
      </c>
      <c r="Q10" s="35">
        <f>I10*Parâmetros!$B$17</f>
        <v>168000</v>
      </c>
      <c r="R10" s="35">
        <f>MAX(0,-T9)*Parâmetros!$B$22</f>
        <v>36694.705653400095</v>
      </c>
      <c r="S10" s="11">
        <f t="shared" si="5"/>
        <v>695630.45059659996</v>
      </c>
      <c r="T10" s="11">
        <f t="shared" si="6"/>
        <v>-1750683.2596300733</v>
      </c>
    </row>
    <row r="11" spans="1:20" ht="15" customHeight="1" x14ac:dyDescent="0.2">
      <c r="A11" s="37">
        <v>8</v>
      </c>
      <c r="B11" s="38">
        <f t="shared" si="0"/>
        <v>1</v>
      </c>
      <c r="C11" s="7" t="s">
        <v>109</v>
      </c>
      <c r="D11" s="40">
        <v>10</v>
      </c>
      <c r="E11" s="34">
        <v>400000</v>
      </c>
      <c r="F11" s="34">
        <v>50000</v>
      </c>
      <c r="G11" s="39">
        <f>D11*Parâmetros!$B$4*Parâmetros!$B$8</f>
        <v>525000</v>
      </c>
      <c r="H11" s="39">
        <f>SUMPRODUCT(($D$4:D10)*($A$4:A10&gt;=(A11-Parâmetros!$B$10)))*Parâmetros!$B$11</f>
        <v>7500.0000000000009</v>
      </c>
      <c r="I11" s="41">
        <f t="shared" si="1"/>
        <v>532500</v>
      </c>
      <c r="J11" s="39">
        <f>D11*Parâmetros!$B$4*Parâmetros!$B$13</f>
        <v>45000</v>
      </c>
      <c r="K11" s="39">
        <f>Parâmetros!$B$6*Parâmetros!$B$14/48</f>
        <v>14062.5</v>
      </c>
      <c r="L11" s="39">
        <f>(E11+F11+J11+K11)*Parâmetros!$B$16</f>
        <v>15271.875</v>
      </c>
      <c r="M11" s="36">
        <f t="shared" si="2"/>
        <v>524334.375</v>
      </c>
      <c r="N11" s="9">
        <f t="shared" si="3"/>
        <v>8165.625</v>
      </c>
      <c r="O11" s="39">
        <f>MAX(0,N11)*Parâmetros!$B$19</f>
        <v>2857.96875</v>
      </c>
      <c r="P11" s="9">
        <f t="shared" si="4"/>
        <v>5307.65625</v>
      </c>
      <c r="Q11" s="39">
        <f>I11*Parâmetros!$B$17</f>
        <v>42600</v>
      </c>
      <c r="R11" s="39">
        <f>MAX(0,-T10)*Parâmetros!$B$22</f>
        <v>26260.248894451099</v>
      </c>
      <c r="S11" s="9">
        <f t="shared" si="5"/>
        <v>-63552.592644451099</v>
      </c>
      <c r="T11" s="9">
        <f t="shared" si="6"/>
        <v>-1814235.8522745245</v>
      </c>
    </row>
    <row r="12" spans="1:20" ht="15" customHeight="1" x14ac:dyDescent="0.2">
      <c r="A12" s="32">
        <v>9</v>
      </c>
      <c r="B12" s="33">
        <f t="shared" si="0"/>
        <v>1</v>
      </c>
      <c r="C12" s="4" t="s">
        <v>110</v>
      </c>
      <c r="D12" s="40">
        <v>10</v>
      </c>
      <c r="E12" s="34">
        <v>400000</v>
      </c>
      <c r="F12" s="34">
        <v>30000</v>
      </c>
      <c r="G12" s="35">
        <f>D12*Parâmetros!$B$4*Parâmetros!$B$8</f>
        <v>525000</v>
      </c>
      <c r="H12" s="35">
        <f>SUMPRODUCT(($D$4:D11)*($A$4:A11&gt;=(A12-Parâmetros!$B$10)))*Parâmetros!$B$11</f>
        <v>9375.0000000000018</v>
      </c>
      <c r="I12" s="41">
        <f t="shared" si="1"/>
        <v>534375</v>
      </c>
      <c r="J12" s="35">
        <f>D12*Parâmetros!$B$4*Parâmetros!$B$13</f>
        <v>45000</v>
      </c>
      <c r="K12" s="35">
        <f>Parâmetros!$B$6*Parâmetros!$B$14/48</f>
        <v>14062.5</v>
      </c>
      <c r="L12" s="35">
        <f>(E12+F12+J12+K12)*Parâmetros!$B$16</f>
        <v>14671.875</v>
      </c>
      <c r="M12" s="36">
        <f t="shared" si="2"/>
        <v>503734.375</v>
      </c>
      <c r="N12" s="11">
        <f t="shared" si="3"/>
        <v>30640.625</v>
      </c>
      <c r="O12" s="35">
        <f>MAX(0,N12)*Parâmetros!$B$19</f>
        <v>10724.21875</v>
      </c>
      <c r="P12" s="11">
        <f t="shared" si="4"/>
        <v>19916.40625</v>
      </c>
      <c r="Q12" s="35">
        <f>I12*Parâmetros!$B$17</f>
        <v>42750</v>
      </c>
      <c r="R12" s="35">
        <f>MAX(0,-T11)*Parâmetros!$B$22</f>
        <v>27213.537784117867</v>
      </c>
      <c r="S12" s="11">
        <f t="shared" si="5"/>
        <v>-50047.131534117871</v>
      </c>
      <c r="T12" s="11">
        <f t="shared" si="6"/>
        <v>-1864282.9838086425</v>
      </c>
    </row>
    <row r="13" spans="1:20" ht="15" customHeight="1" x14ac:dyDescent="0.2">
      <c r="A13" s="37">
        <v>10</v>
      </c>
      <c r="B13" s="38">
        <f t="shared" si="0"/>
        <v>1</v>
      </c>
      <c r="C13" s="7" t="s">
        <v>111</v>
      </c>
      <c r="D13" s="40">
        <v>10</v>
      </c>
      <c r="E13" s="34">
        <v>400000</v>
      </c>
      <c r="F13" s="34">
        <v>20000</v>
      </c>
      <c r="G13" s="39">
        <f>D13*Parâmetros!$B$4*Parâmetros!$B$8</f>
        <v>525000</v>
      </c>
      <c r="H13" s="39">
        <f>SUMPRODUCT(($D$4:D12)*($A$4:A12&gt;=(A13-Parâmetros!$B$10)))*Parâmetros!$B$11</f>
        <v>11250.000000000002</v>
      </c>
      <c r="I13" s="41">
        <f t="shared" si="1"/>
        <v>536250</v>
      </c>
      <c r="J13" s="39">
        <f>D13*Parâmetros!$B$4*Parâmetros!$B$13</f>
        <v>45000</v>
      </c>
      <c r="K13" s="39">
        <f>Parâmetros!$B$6*Parâmetros!$B$14/48</f>
        <v>14062.5</v>
      </c>
      <c r="L13" s="39">
        <f>(E13+F13+J13+K13)*Parâmetros!$B$16</f>
        <v>14371.875</v>
      </c>
      <c r="M13" s="36">
        <f t="shared" si="2"/>
        <v>493434.375</v>
      </c>
      <c r="N13" s="9">
        <f t="shared" si="3"/>
        <v>42815.625</v>
      </c>
      <c r="O13" s="39">
        <f>MAX(0,N13)*Parâmetros!$B$19</f>
        <v>14985.468749999998</v>
      </c>
      <c r="P13" s="9">
        <f t="shared" si="4"/>
        <v>27830.15625</v>
      </c>
      <c r="Q13" s="39">
        <f>I13*Parâmetros!$B$17</f>
        <v>42900</v>
      </c>
      <c r="R13" s="39">
        <f>MAX(0,-T12)*Parâmetros!$B$22</f>
        <v>27964.244757129636</v>
      </c>
      <c r="S13" s="9">
        <f t="shared" si="5"/>
        <v>-43034.088507129636</v>
      </c>
      <c r="T13" s="9">
        <f t="shared" si="6"/>
        <v>-1907317.0723157721</v>
      </c>
    </row>
    <row r="14" spans="1:20" ht="15" customHeight="1" x14ac:dyDescent="0.2">
      <c r="A14" s="32">
        <v>11</v>
      </c>
      <c r="B14" s="33">
        <f t="shared" si="0"/>
        <v>1</v>
      </c>
      <c r="C14" s="4" t="s">
        <v>112</v>
      </c>
      <c r="D14" s="40">
        <v>10</v>
      </c>
      <c r="E14" s="34">
        <v>400000</v>
      </c>
      <c r="F14" s="34">
        <v>20000</v>
      </c>
      <c r="G14" s="35">
        <f>D14*Parâmetros!$B$4*Parâmetros!$B$8</f>
        <v>525000</v>
      </c>
      <c r="H14" s="35">
        <f>SUMPRODUCT(($D$4:D13)*($A$4:A13&gt;=(A14-Parâmetros!$B$10)))*Parâmetros!$B$11</f>
        <v>13125.000000000002</v>
      </c>
      <c r="I14" s="41">
        <f t="shared" si="1"/>
        <v>538125</v>
      </c>
      <c r="J14" s="35">
        <f>D14*Parâmetros!$B$4*Parâmetros!$B$13</f>
        <v>45000</v>
      </c>
      <c r="K14" s="35">
        <f>Parâmetros!$B$6*Parâmetros!$B$14/48</f>
        <v>14062.5</v>
      </c>
      <c r="L14" s="35">
        <f>(E14+F14+J14+K14)*Parâmetros!$B$16</f>
        <v>14371.875</v>
      </c>
      <c r="M14" s="36">
        <f t="shared" si="2"/>
        <v>493434.375</v>
      </c>
      <c r="N14" s="11">
        <f t="shared" si="3"/>
        <v>44690.625</v>
      </c>
      <c r="O14" s="35">
        <f>MAX(0,N14)*Parâmetros!$B$19</f>
        <v>15641.718749999998</v>
      </c>
      <c r="P14" s="11">
        <f t="shared" si="4"/>
        <v>29048.90625</v>
      </c>
      <c r="Q14" s="35">
        <f>I14*Parâmetros!$B$17</f>
        <v>43050</v>
      </c>
      <c r="R14" s="35">
        <f>MAX(0,-T13)*Parâmetros!$B$22</f>
        <v>28609.756084736578</v>
      </c>
      <c r="S14" s="11">
        <f t="shared" si="5"/>
        <v>-42610.849834736582</v>
      </c>
      <c r="T14" s="11">
        <f t="shared" si="6"/>
        <v>-1949927.9221505087</v>
      </c>
    </row>
    <row r="15" spans="1:20" ht="15" customHeight="1" x14ac:dyDescent="0.2">
      <c r="A15" s="37">
        <v>12</v>
      </c>
      <c r="B15" s="38">
        <f t="shared" si="0"/>
        <v>1</v>
      </c>
      <c r="C15" s="7" t="s">
        <v>113</v>
      </c>
      <c r="D15" s="40">
        <v>10</v>
      </c>
      <c r="E15" s="34">
        <v>380000</v>
      </c>
      <c r="F15" s="34">
        <v>20000</v>
      </c>
      <c r="G15" s="39">
        <f>D15*Parâmetros!$B$4*Parâmetros!$B$8</f>
        <v>525000</v>
      </c>
      <c r="H15" s="39">
        <f>SUMPRODUCT(($D$4:D14)*($A$4:A14&gt;=(A15-Parâmetros!$B$10)))*Parâmetros!$B$11</f>
        <v>15000.000000000002</v>
      </c>
      <c r="I15" s="41">
        <f t="shared" si="1"/>
        <v>540000</v>
      </c>
      <c r="J15" s="39">
        <f>D15*Parâmetros!$B$4*Parâmetros!$B$13</f>
        <v>45000</v>
      </c>
      <c r="K15" s="39">
        <f>Parâmetros!$B$6*Parâmetros!$B$14/48</f>
        <v>14062.5</v>
      </c>
      <c r="L15" s="39">
        <f>(E15+F15+J15+K15)*Parâmetros!$B$16</f>
        <v>13771.875</v>
      </c>
      <c r="M15" s="36">
        <f t="shared" si="2"/>
        <v>472834.375</v>
      </c>
      <c r="N15" s="9">
        <f t="shared" si="3"/>
        <v>67165.625</v>
      </c>
      <c r="O15" s="39">
        <f>MAX(0,N15)*Parâmetros!$B$19</f>
        <v>23507.96875</v>
      </c>
      <c r="P15" s="9">
        <f t="shared" si="4"/>
        <v>43657.65625</v>
      </c>
      <c r="Q15" s="39">
        <f>I15*Parâmetros!$B$17</f>
        <v>43200</v>
      </c>
      <c r="R15" s="39">
        <f>MAX(0,-T14)*Parâmetros!$B$22</f>
        <v>29248.91883225763</v>
      </c>
      <c r="S15" s="9">
        <f t="shared" si="5"/>
        <v>-28791.26258225763</v>
      </c>
      <c r="T15" s="9">
        <f t="shared" si="6"/>
        <v>-1978719.1847327664</v>
      </c>
    </row>
    <row r="16" spans="1:20" ht="15" customHeight="1" x14ac:dyDescent="0.2">
      <c r="A16" s="32">
        <v>13</v>
      </c>
      <c r="B16" s="33">
        <f t="shared" si="0"/>
        <v>2</v>
      </c>
      <c r="C16" s="4" t="s">
        <v>102</v>
      </c>
      <c r="D16" s="40">
        <v>10</v>
      </c>
      <c r="E16" s="34">
        <v>350000</v>
      </c>
      <c r="F16" s="34">
        <v>5000</v>
      </c>
      <c r="G16" s="35">
        <f>D16*Parâmetros!$B$4*Parâmetros!$B$8</f>
        <v>525000</v>
      </c>
      <c r="H16" s="35">
        <f>SUMPRODUCT(($D$4:D15)*($A$4:A15&gt;=(A16-Parâmetros!$B$10)))*Parâmetros!$B$11</f>
        <v>16875.000000000004</v>
      </c>
      <c r="I16" s="41">
        <f t="shared" si="1"/>
        <v>541875</v>
      </c>
      <c r="J16" s="35">
        <f>D16*Parâmetros!$B$4*Parâmetros!$B$13</f>
        <v>45000</v>
      </c>
      <c r="K16" s="35">
        <f>Parâmetros!$B$6*Parâmetros!$B$14/48</f>
        <v>14062.5</v>
      </c>
      <c r="L16" s="35">
        <f>(E16+F16+J16+K16)*Parâmetros!$B$16</f>
        <v>12421.875</v>
      </c>
      <c r="M16" s="36">
        <f t="shared" si="2"/>
        <v>426484.375</v>
      </c>
      <c r="N16" s="11">
        <f t="shared" si="3"/>
        <v>115390.625</v>
      </c>
      <c r="O16" s="35">
        <f>MAX(0,N16)*Parâmetros!$B$19</f>
        <v>40386.71875</v>
      </c>
      <c r="P16" s="11">
        <f t="shared" si="4"/>
        <v>75003.90625</v>
      </c>
      <c r="Q16" s="35">
        <f>I16*Parâmetros!$B$17</f>
        <v>43350</v>
      </c>
      <c r="R16" s="35">
        <f>MAX(0,-T15)*Parâmetros!$B$22</f>
        <v>29680.787770991494</v>
      </c>
      <c r="S16" s="11">
        <f t="shared" si="5"/>
        <v>1973.1184790085063</v>
      </c>
      <c r="T16" s="11">
        <f t="shared" si="6"/>
        <v>-1976746.0662537578</v>
      </c>
    </row>
    <row r="17" spans="1:20" ht="15" customHeight="1" x14ac:dyDescent="0.2">
      <c r="A17" s="37">
        <v>14</v>
      </c>
      <c r="B17" s="38">
        <f t="shared" si="0"/>
        <v>2</v>
      </c>
      <c r="C17" s="7" t="s">
        <v>103</v>
      </c>
      <c r="D17" s="40">
        <v>10</v>
      </c>
      <c r="E17" s="34">
        <v>350000</v>
      </c>
      <c r="F17" s="34">
        <v>5000</v>
      </c>
      <c r="G17" s="39">
        <f>D17*Parâmetros!$B$4*Parâmetros!$B$8</f>
        <v>525000</v>
      </c>
      <c r="H17" s="39">
        <f>SUMPRODUCT(($D$4:D16)*($A$4:A16&gt;=(A17-Parâmetros!$B$10)))*Parâmetros!$B$11</f>
        <v>18750.000000000004</v>
      </c>
      <c r="I17" s="41">
        <f t="shared" si="1"/>
        <v>543750</v>
      </c>
      <c r="J17" s="39">
        <f>D17*Parâmetros!$B$4*Parâmetros!$B$13</f>
        <v>45000</v>
      </c>
      <c r="K17" s="39">
        <f>Parâmetros!$B$6*Parâmetros!$B$14/48</f>
        <v>14062.5</v>
      </c>
      <c r="L17" s="39">
        <f>(E17+F17+J17+K17)*Parâmetros!$B$16</f>
        <v>12421.875</v>
      </c>
      <c r="M17" s="36">
        <f t="shared" si="2"/>
        <v>426484.375</v>
      </c>
      <c r="N17" s="9">
        <f t="shared" si="3"/>
        <v>117265.625</v>
      </c>
      <c r="O17" s="39">
        <f>MAX(0,N17)*Parâmetros!$B$19</f>
        <v>41042.96875</v>
      </c>
      <c r="P17" s="9">
        <f t="shared" si="4"/>
        <v>76222.65625</v>
      </c>
      <c r="Q17" s="39">
        <f>I17*Parâmetros!$B$17</f>
        <v>43500</v>
      </c>
      <c r="R17" s="39">
        <f>MAX(0,-T16)*Parâmetros!$B$22</f>
        <v>29651.190993806365</v>
      </c>
      <c r="S17" s="9">
        <f t="shared" si="5"/>
        <v>3071.4652561936346</v>
      </c>
      <c r="T17" s="9">
        <f t="shared" si="6"/>
        <v>-1973674.6009975642</v>
      </c>
    </row>
    <row r="18" spans="1:20" ht="15" customHeight="1" x14ac:dyDescent="0.2">
      <c r="A18" s="32">
        <v>15</v>
      </c>
      <c r="B18" s="33">
        <f t="shared" si="0"/>
        <v>2</v>
      </c>
      <c r="C18" s="4" t="s">
        <v>104</v>
      </c>
      <c r="D18" s="40">
        <v>10</v>
      </c>
      <c r="E18" s="34">
        <v>300000</v>
      </c>
      <c r="F18" s="34">
        <v>5000</v>
      </c>
      <c r="G18" s="35">
        <f>D18*Parâmetros!$B$4*Parâmetros!$B$8</f>
        <v>525000</v>
      </c>
      <c r="H18" s="35">
        <f>SUMPRODUCT(($D$4:D17)*($A$4:A17&gt;=(A18-Parâmetros!$B$10)))*Parâmetros!$B$11</f>
        <v>20625.000000000004</v>
      </c>
      <c r="I18" s="41">
        <f t="shared" si="1"/>
        <v>545625</v>
      </c>
      <c r="J18" s="35">
        <f>D18*Parâmetros!$B$4*Parâmetros!$B$13</f>
        <v>45000</v>
      </c>
      <c r="K18" s="35">
        <f>Parâmetros!$B$6*Parâmetros!$B$14/48</f>
        <v>14062.5</v>
      </c>
      <c r="L18" s="35">
        <f>(E18+F18+J18+K18)*Parâmetros!$B$16</f>
        <v>10921.875</v>
      </c>
      <c r="M18" s="36">
        <f t="shared" si="2"/>
        <v>374984.375</v>
      </c>
      <c r="N18" s="11">
        <f t="shared" si="3"/>
        <v>170640.625</v>
      </c>
      <c r="O18" s="35">
        <f>MAX(0,N18)*Parâmetros!$B$19</f>
        <v>59724.218749999993</v>
      </c>
      <c r="P18" s="11">
        <f t="shared" si="4"/>
        <v>110916.40625</v>
      </c>
      <c r="Q18" s="35">
        <f>I18*Parâmetros!$B$17</f>
        <v>43650</v>
      </c>
      <c r="R18" s="35">
        <f>MAX(0,-T17)*Parâmetros!$B$22</f>
        <v>29605.11901496346</v>
      </c>
      <c r="S18" s="11">
        <f t="shared" si="5"/>
        <v>37661.287235036536</v>
      </c>
      <c r="T18" s="11">
        <f t="shared" si="6"/>
        <v>-1936013.3137625277</v>
      </c>
    </row>
    <row r="19" spans="1:20" ht="15" customHeight="1" x14ac:dyDescent="0.2">
      <c r="A19" s="37">
        <v>16</v>
      </c>
      <c r="B19" s="38">
        <f t="shared" si="0"/>
        <v>2</v>
      </c>
      <c r="C19" s="7" t="s">
        <v>105</v>
      </c>
      <c r="D19" s="40">
        <v>10</v>
      </c>
      <c r="E19" s="34">
        <v>200000</v>
      </c>
      <c r="F19" s="34">
        <v>5000</v>
      </c>
      <c r="G19" s="39">
        <f>D19*Parâmetros!$B$4*Parâmetros!$B$8</f>
        <v>525000</v>
      </c>
      <c r="H19" s="39">
        <f>SUMPRODUCT(($D$4:D18)*($A$4:A18&gt;=(A19-Parâmetros!$B$10)))*Parâmetros!$B$11</f>
        <v>22500.000000000004</v>
      </c>
      <c r="I19" s="41">
        <f t="shared" si="1"/>
        <v>547500</v>
      </c>
      <c r="J19" s="39">
        <f>D19*Parâmetros!$B$4*Parâmetros!$B$13</f>
        <v>45000</v>
      </c>
      <c r="K19" s="39">
        <f>Parâmetros!$B$6*Parâmetros!$B$14/48</f>
        <v>14062.5</v>
      </c>
      <c r="L19" s="39">
        <f>(E19+F19+J19+K19)*Parâmetros!$B$16</f>
        <v>7921.875</v>
      </c>
      <c r="M19" s="36">
        <f t="shared" si="2"/>
        <v>271984.375</v>
      </c>
      <c r="N19" s="9">
        <f t="shared" si="3"/>
        <v>275515.625</v>
      </c>
      <c r="O19" s="39">
        <f>MAX(0,N19)*Parâmetros!$B$19</f>
        <v>96430.46875</v>
      </c>
      <c r="P19" s="9">
        <f t="shared" si="4"/>
        <v>179085.15625</v>
      </c>
      <c r="Q19" s="39">
        <f>I19*Parâmetros!$B$17</f>
        <v>43800</v>
      </c>
      <c r="R19" s="39">
        <f>MAX(0,-T18)*Parâmetros!$B$22</f>
        <v>29040.199706437914</v>
      </c>
      <c r="S19" s="9">
        <f t="shared" si="5"/>
        <v>106244.95654356209</v>
      </c>
      <c r="T19" s="9">
        <f t="shared" si="6"/>
        <v>-1829768.3572189657</v>
      </c>
    </row>
    <row r="20" spans="1:20" ht="15" customHeight="1" x14ac:dyDescent="0.2">
      <c r="A20" s="32">
        <v>17</v>
      </c>
      <c r="B20" s="33">
        <f t="shared" si="0"/>
        <v>2</v>
      </c>
      <c r="C20" s="4" t="s">
        <v>106</v>
      </c>
      <c r="D20" s="40">
        <v>10</v>
      </c>
      <c r="E20" s="34">
        <v>150000</v>
      </c>
      <c r="F20" s="34">
        <v>5000</v>
      </c>
      <c r="G20" s="35">
        <f>D20*Parâmetros!$B$4*Parâmetros!$B$8</f>
        <v>525000</v>
      </c>
      <c r="H20" s="35">
        <f>SUMPRODUCT(($D$4:D19)*($A$4:A19&gt;=(A20-Parâmetros!$B$10)))*Parâmetros!$B$11</f>
        <v>24375.000000000004</v>
      </c>
      <c r="I20" s="41">
        <f t="shared" si="1"/>
        <v>549375</v>
      </c>
      <c r="J20" s="35">
        <f>D20*Parâmetros!$B$4*Parâmetros!$B$13</f>
        <v>45000</v>
      </c>
      <c r="K20" s="35">
        <f>Parâmetros!$B$6*Parâmetros!$B$14/48</f>
        <v>14062.5</v>
      </c>
      <c r="L20" s="35">
        <f>(E20+F20+J20+K20)*Parâmetros!$B$16</f>
        <v>6421.875</v>
      </c>
      <c r="M20" s="36">
        <f t="shared" si="2"/>
        <v>220484.375</v>
      </c>
      <c r="N20" s="11">
        <f t="shared" si="3"/>
        <v>328890.625</v>
      </c>
      <c r="O20" s="35">
        <f>MAX(0,N20)*Parâmetros!$B$19</f>
        <v>115111.71874999999</v>
      </c>
      <c r="P20" s="11">
        <f t="shared" si="4"/>
        <v>213778.90625</v>
      </c>
      <c r="Q20" s="35">
        <f>I20*Parâmetros!$B$17</f>
        <v>43950</v>
      </c>
      <c r="R20" s="35">
        <f>MAX(0,-T19)*Parâmetros!$B$22</f>
        <v>27446.525358284485</v>
      </c>
      <c r="S20" s="11">
        <f t="shared" si="5"/>
        <v>142382.38089171553</v>
      </c>
      <c r="T20" s="11">
        <f t="shared" si="6"/>
        <v>-1687385.9763272502</v>
      </c>
    </row>
    <row r="21" spans="1:20" ht="15" customHeight="1" x14ac:dyDescent="0.2">
      <c r="A21" s="37">
        <v>18</v>
      </c>
      <c r="B21" s="38">
        <f t="shared" si="0"/>
        <v>2</v>
      </c>
      <c r="C21" s="7" t="s">
        <v>107</v>
      </c>
      <c r="D21" s="40">
        <v>10</v>
      </c>
      <c r="E21" s="34">
        <v>100000</v>
      </c>
      <c r="F21" s="34">
        <v>5000</v>
      </c>
      <c r="G21" s="39">
        <f>D21*Parâmetros!$B$4*Parâmetros!$B$8</f>
        <v>525000</v>
      </c>
      <c r="H21" s="39">
        <f>SUMPRODUCT(($D$4:D20)*($A$4:A20&gt;=(A21-Parâmetros!$B$10)))*Parâmetros!$B$11</f>
        <v>26250.000000000004</v>
      </c>
      <c r="I21" s="41">
        <f t="shared" si="1"/>
        <v>551250</v>
      </c>
      <c r="J21" s="39">
        <f>D21*Parâmetros!$B$4*Parâmetros!$B$13</f>
        <v>45000</v>
      </c>
      <c r="K21" s="39">
        <f>Parâmetros!$B$6*Parâmetros!$B$14/48</f>
        <v>14062.5</v>
      </c>
      <c r="L21" s="39">
        <f>(E21+F21+J21+K21)*Parâmetros!$B$16</f>
        <v>4921.875</v>
      </c>
      <c r="M21" s="36">
        <f t="shared" si="2"/>
        <v>168984.375</v>
      </c>
      <c r="N21" s="9">
        <f t="shared" si="3"/>
        <v>382265.625</v>
      </c>
      <c r="O21" s="39">
        <f>MAX(0,N21)*Parâmetros!$B$19</f>
        <v>133792.96875</v>
      </c>
      <c r="P21" s="9">
        <f t="shared" si="4"/>
        <v>248472.65625</v>
      </c>
      <c r="Q21" s="39">
        <f>I21*Parâmetros!$B$17</f>
        <v>44100</v>
      </c>
      <c r="R21" s="39">
        <f>MAX(0,-T20)*Parâmetros!$B$22</f>
        <v>25310.789644908753</v>
      </c>
      <c r="S21" s="9">
        <f t="shared" si="5"/>
        <v>179061.86660509126</v>
      </c>
      <c r="T21" s="9">
        <f t="shared" si="6"/>
        <v>-1508324.1097221589</v>
      </c>
    </row>
    <row r="22" spans="1:20" ht="15" customHeight="1" x14ac:dyDescent="0.2">
      <c r="A22" s="32">
        <v>19</v>
      </c>
      <c r="B22" s="33">
        <f t="shared" si="0"/>
        <v>2</v>
      </c>
      <c r="C22" s="4" t="s">
        <v>108</v>
      </c>
      <c r="D22" s="40">
        <v>10</v>
      </c>
      <c r="E22" s="34">
        <v>100000</v>
      </c>
      <c r="F22" s="34">
        <v>5000</v>
      </c>
      <c r="G22" s="35">
        <f>D22*Parâmetros!$B$4*Parâmetros!$B$8</f>
        <v>525000</v>
      </c>
      <c r="H22" s="35">
        <f>SUMPRODUCT(($D$4:D21)*($A$4:A21&gt;=(A22-Parâmetros!$B$10)))*Parâmetros!$B$11</f>
        <v>28125.000000000004</v>
      </c>
      <c r="I22" s="41">
        <f t="shared" si="1"/>
        <v>553125</v>
      </c>
      <c r="J22" s="35">
        <f>D22*Parâmetros!$B$4*Parâmetros!$B$13</f>
        <v>45000</v>
      </c>
      <c r="K22" s="35">
        <f>Parâmetros!$B$6*Parâmetros!$B$14/48</f>
        <v>14062.5</v>
      </c>
      <c r="L22" s="35">
        <f>(E22+F22+J22+K22)*Parâmetros!$B$16</f>
        <v>4921.875</v>
      </c>
      <c r="M22" s="36">
        <f t="shared" si="2"/>
        <v>168984.375</v>
      </c>
      <c r="N22" s="11">
        <f t="shared" si="3"/>
        <v>384140.625</v>
      </c>
      <c r="O22" s="35">
        <f>MAX(0,N22)*Parâmetros!$B$19</f>
        <v>134449.21875</v>
      </c>
      <c r="P22" s="11">
        <f t="shared" si="4"/>
        <v>249691.40625</v>
      </c>
      <c r="Q22" s="35">
        <f>I22*Parâmetros!$B$17</f>
        <v>44250</v>
      </c>
      <c r="R22" s="35">
        <f>MAX(0,-T21)*Parâmetros!$B$22</f>
        <v>22624.861645832381</v>
      </c>
      <c r="S22" s="11">
        <f t="shared" si="5"/>
        <v>182816.54460416763</v>
      </c>
      <c r="T22" s="11">
        <f t="shared" si="6"/>
        <v>-1325507.5651179913</v>
      </c>
    </row>
    <row r="23" spans="1:20" ht="15" customHeight="1" x14ac:dyDescent="0.2">
      <c r="A23" s="37">
        <v>20</v>
      </c>
      <c r="B23" s="38">
        <f t="shared" si="0"/>
        <v>2</v>
      </c>
      <c r="C23" s="7" t="s">
        <v>109</v>
      </c>
      <c r="D23" s="40">
        <v>10</v>
      </c>
      <c r="E23" s="34">
        <v>80000</v>
      </c>
      <c r="F23" s="34">
        <v>5000</v>
      </c>
      <c r="G23" s="39">
        <f>D23*Parâmetros!$B$4*Parâmetros!$B$8</f>
        <v>525000</v>
      </c>
      <c r="H23" s="39">
        <f>SUMPRODUCT(($D$4:D22)*($A$4:A22&gt;=(A23-Parâmetros!$B$10)))*Parâmetros!$B$11</f>
        <v>30000.000000000004</v>
      </c>
      <c r="I23" s="41">
        <f t="shared" si="1"/>
        <v>555000</v>
      </c>
      <c r="J23" s="39">
        <f>D23*Parâmetros!$B$4*Parâmetros!$B$13</f>
        <v>45000</v>
      </c>
      <c r="K23" s="39">
        <f>Parâmetros!$B$6*Parâmetros!$B$14/48</f>
        <v>14062.5</v>
      </c>
      <c r="L23" s="39">
        <f>(E23+F23+J23+K23)*Parâmetros!$B$16</f>
        <v>4321.875</v>
      </c>
      <c r="M23" s="36">
        <f t="shared" si="2"/>
        <v>148384.375</v>
      </c>
      <c r="N23" s="9">
        <f t="shared" si="3"/>
        <v>406615.625</v>
      </c>
      <c r="O23" s="39">
        <f>MAX(0,N23)*Parâmetros!$B$19</f>
        <v>142315.46875</v>
      </c>
      <c r="P23" s="9">
        <f t="shared" si="4"/>
        <v>264300.15625</v>
      </c>
      <c r="Q23" s="39">
        <f>I23*Parâmetros!$B$17</f>
        <v>44400</v>
      </c>
      <c r="R23" s="39">
        <f>MAX(0,-T22)*Parâmetros!$B$22</f>
        <v>19882.613476769868</v>
      </c>
      <c r="S23" s="9">
        <f t="shared" si="5"/>
        <v>200017.54277323012</v>
      </c>
      <c r="T23" s="9">
        <f t="shared" si="6"/>
        <v>-1125490.0223447611</v>
      </c>
    </row>
    <row r="24" spans="1:20" ht="15" customHeight="1" x14ac:dyDescent="0.2">
      <c r="A24" s="32">
        <v>21</v>
      </c>
      <c r="B24" s="33">
        <f t="shared" si="0"/>
        <v>2</v>
      </c>
      <c r="C24" s="4" t="s">
        <v>110</v>
      </c>
      <c r="D24" s="40">
        <v>10</v>
      </c>
      <c r="E24" s="34">
        <v>60000</v>
      </c>
      <c r="F24" s="34">
        <v>5000</v>
      </c>
      <c r="G24" s="35">
        <f>D24*Parâmetros!$B$4*Parâmetros!$B$8</f>
        <v>525000</v>
      </c>
      <c r="H24" s="35">
        <f>SUMPRODUCT(($D$4:D23)*($A$4:A23&gt;=(A24-Parâmetros!$B$10)))*Parâmetros!$B$11</f>
        <v>31875.000000000004</v>
      </c>
      <c r="I24" s="41">
        <f t="shared" si="1"/>
        <v>556875</v>
      </c>
      <c r="J24" s="35">
        <f>D24*Parâmetros!$B$4*Parâmetros!$B$13</f>
        <v>45000</v>
      </c>
      <c r="K24" s="35">
        <f>Parâmetros!$B$6*Parâmetros!$B$14/48</f>
        <v>14062.5</v>
      </c>
      <c r="L24" s="35">
        <f>(E24+F24+J24+K24)*Parâmetros!$B$16</f>
        <v>3721.875</v>
      </c>
      <c r="M24" s="36">
        <f t="shared" si="2"/>
        <v>127784.375</v>
      </c>
      <c r="N24" s="11">
        <f t="shared" si="3"/>
        <v>429090.625</v>
      </c>
      <c r="O24" s="35">
        <f>MAX(0,N24)*Parâmetros!$B$19</f>
        <v>150181.71875</v>
      </c>
      <c r="P24" s="11">
        <f t="shared" si="4"/>
        <v>278908.90625</v>
      </c>
      <c r="Q24" s="35">
        <f>I24*Parâmetros!$B$17</f>
        <v>44550</v>
      </c>
      <c r="R24" s="35">
        <f>MAX(0,-T23)*Parâmetros!$B$22</f>
        <v>16882.350335171417</v>
      </c>
      <c r="S24" s="11">
        <f t="shared" si="5"/>
        <v>217476.55591482858</v>
      </c>
      <c r="T24" s="11">
        <f t="shared" si="6"/>
        <v>-908013.46642993251</v>
      </c>
    </row>
    <row r="25" spans="1:20" ht="15" customHeight="1" x14ac:dyDescent="0.2">
      <c r="A25" s="37">
        <v>22</v>
      </c>
      <c r="B25" s="38">
        <f t="shared" si="0"/>
        <v>2</v>
      </c>
      <c r="C25" s="7" t="s">
        <v>111</v>
      </c>
      <c r="D25" s="40">
        <v>10</v>
      </c>
      <c r="E25" s="34">
        <v>50000</v>
      </c>
      <c r="F25" s="34">
        <v>5000</v>
      </c>
      <c r="G25" s="39">
        <f>D25*Parâmetros!$B$4*Parâmetros!$B$8</f>
        <v>525000</v>
      </c>
      <c r="H25" s="39">
        <f>SUMPRODUCT(($D$4:D24)*($A$4:A24&gt;=(A25-Parâmetros!$B$10)))*Parâmetros!$B$11</f>
        <v>33750.000000000007</v>
      </c>
      <c r="I25" s="41">
        <f t="shared" si="1"/>
        <v>558750</v>
      </c>
      <c r="J25" s="39">
        <f>D25*Parâmetros!$B$4*Parâmetros!$B$13</f>
        <v>45000</v>
      </c>
      <c r="K25" s="39">
        <f>Parâmetros!$B$6*Parâmetros!$B$14/48</f>
        <v>14062.5</v>
      </c>
      <c r="L25" s="39">
        <f>(E25+F25+J25+K25)*Parâmetros!$B$16</f>
        <v>3421.875</v>
      </c>
      <c r="M25" s="36">
        <f t="shared" si="2"/>
        <v>117484.375</v>
      </c>
      <c r="N25" s="9">
        <f t="shared" si="3"/>
        <v>441265.625</v>
      </c>
      <c r="O25" s="39">
        <f>MAX(0,N25)*Parâmetros!$B$19</f>
        <v>154442.96875</v>
      </c>
      <c r="P25" s="9">
        <f t="shared" si="4"/>
        <v>286822.65625</v>
      </c>
      <c r="Q25" s="39">
        <f>I25*Parâmetros!$B$17</f>
        <v>44700</v>
      </c>
      <c r="R25" s="39">
        <f>MAX(0,-T24)*Parâmetros!$B$22</f>
        <v>13620.201996448986</v>
      </c>
      <c r="S25" s="9">
        <f t="shared" si="5"/>
        <v>228502.45425355103</v>
      </c>
      <c r="T25" s="9">
        <f t="shared" si="6"/>
        <v>-679511.01217638142</v>
      </c>
    </row>
    <row r="26" spans="1:20" ht="15" customHeight="1" x14ac:dyDescent="0.2">
      <c r="A26" s="32">
        <v>23</v>
      </c>
      <c r="B26" s="33">
        <f t="shared" si="0"/>
        <v>2</v>
      </c>
      <c r="C26" s="4" t="s">
        <v>112</v>
      </c>
      <c r="D26" s="40">
        <v>10</v>
      </c>
      <c r="E26" s="34">
        <v>30000</v>
      </c>
      <c r="F26" s="34">
        <v>5000</v>
      </c>
      <c r="G26" s="35">
        <f>D26*Parâmetros!$B$4*Parâmetros!$B$8</f>
        <v>525000</v>
      </c>
      <c r="H26" s="35">
        <f>SUMPRODUCT(($D$4:D25)*($A$4:A25&gt;=(A26-Parâmetros!$B$10)))*Parâmetros!$B$11</f>
        <v>35625.000000000007</v>
      </c>
      <c r="I26" s="41">
        <f t="shared" si="1"/>
        <v>560625</v>
      </c>
      <c r="J26" s="35">
        <f>D26*Parâmetros!$B$4*Parâmetros!$B$13</f>
        <v>45000</v>
      </c>
      <c r="K26" s="35">
        <f>Parâmetros!$B$6*Parâmetros!$B$14/48</f>
        <v>14062.5</v>
      </c>
      <c r="L26" s="35">
        <f>(E26+F26+J26+K26)*Parâmetros!$B$16</f>
        <v>2821.875</v>
      </c>
      <c r="M26" s="36">
        <f t="shared" si="2"/>
        <v>96884.375</v>
      </c>
      <c r="N26" s="11">
        <f t="shared" si="3"/>
        <v>463740.625</v>
      </c>
      <c r="O26" s="35">
        <f>MAX(0,N26)*Parâmetros!$B$19</f>
        <v>162309.21875</v>
      </c>
      <c r="P26" s="11">
        <f t="shared" si="4"/>
        <v>301431.40625</v>
      </c>
      <c r="Q26" s="35">
        <f>I26*Parâmetros!$B$17</f>
        <v>44850</v>
      </c>
      <c r="R26" s="35">
        <f>MAX(0,-T25)*Parâmetros!$B$22</f>
        <v>10192.665182645722</v>
      </c>
      <c r="S26" s="11">
        <f t="shared" si="5"/>
        <v>246388.74106735428</v>
      </c>
      <c r="T26" s="11">
        <f t="shared" si="6"/>
        <v>-433122.27110902715</v>
      </c>
    </row>
    <row r="27" spans="1:20" ht="15" customHeight="1" x14ac:dyDescent="0.2">
      <c r="A27" s="37">
        <v>24</v>
      </c>
      <c r="B27" s="38">
        <f t="shared" si="0"/>
        <v>2</v>
      </c>
      <c r="C27" s="7" t="s">
        <v>113</v>
      </c>
      <c r="D27" s="40">
        <v>10</v>
      </c>
      <c r="E27" s="34">
        <v>30000</v>
      </c>
      <c r="F27" s="34">
        <v>5000</v>
      </c>
      <c r="G27" s="39">
        <f>D27*Parâmetros!$B$4*Parâmetros!$B$8</f>
        <v>525000</v>
      </c>
      <c r="H27" s="39">
        <f>SUMPRODUCT(($D$4:D26)*($A$4:A26&gt;=(A27-Parâmetros!$B$10)))*Parâmetros!$B$11</f>
        <v>37500.000000000007</v>
      </c>
      <c r="I27" s="41">
        <f t="shared" si="1"/>
        <v>562500</v>
      </c>
      <c r="J27" s="39">
        <f>D27*Parâmetros!$B$4*Parâmetros!$B$13</f>
        <v>45000</v>
      </c>
      <c r="K27" s="39">
        <f>Parâmetros!$B$6*Parâmetros!$B$14/48</f>
        <v>14062.5</v>
      </c>
      <c r="L27" s="39">
        <f>(E27+F27+J27+K27)*Parâmetros!$B$16</f>
        <v>2821.875</v>
      </c>
      <c r="M27" s="36">
        <f t="shared" si="2"/>
        <v>96884.375</v>
      </c>
      <c r="N27" s="9">
        <f t="shared" si="3"/>
        <v>465615.625</v>
      </c>
      <c r="O27" s="39">
        <f>MAX(0,N27)*Parâmetros!$B$19</f>
        <v>162965.46875</v>
      </c>
      <c r="P27" s="9">
        <f t="shared" si="4"/>
        <v>302650.15625</v>
      </c>
      <c r="Q27" s="39">
        <f>I27*Parâmetros!$B$17</f>
        <v>45000</v>
      </c>
      <c r="R27" s="39">
        <f>MAX(0,-T26)*Parâmetros!$B$22</f>
        <v>6496.834066635407</v>
      </c>
      <c r="S27" s="9">
        <f t="shared" si="5"/>
        <v>251153.32218336459</v>
      </c>
      <c r="T27" s="9">
        <f t="shared" si="6"/>
        <v>-181968.94892566255</v>
      </c>
    </row>
    <row r="28" spans="1:20" ht="15" customHeight="1" x14ac:dyDescent="0.2">
      <c r="A28" s="32">
        <v>25</v>
      </c>
      <c r="B28" s="33">
        <f t="shared" si="0"/>
        <v>3</v>
      </c>
      <c r="C28" s="4" t="s">
        <v>102</v>
      </c>
      <c r="D28" s="40">
        <v>10</v>
      </c>
      <c r="E28" s="34">
        <v>8333</v>
      </c>
      <c r="F28" s="34">
        <v>3250</v>
      </c>
      <c r="G28" s="35">
        <f>D28*Parâmetros!$B$4*Parâmetros!$B$8</f>
        <v>525000</v>
      </c>
      <c r="H28" s="35">
        <f>SUMPRODUCT(($D$4:D27)*($A$4:A27&gt;=(A28-Parâmetros!$B$10)))*Parâmetros!$B$11</f>
        <v>39375.000000000007</v>
      </c>
      <c r="I28" s="41">
        <f t="shared" si="1"/>
        <v>564375</v>
      </c>
      <c r="J28" s="35">
        <f>D28*Parâmetros!$B$4*Parâmetros!$B$13</f>
        <v>45000</v>
      </c>
      <c r="K28" s="35">
        <f>Parâmetros!$B$6*Parâmetros!$B$14/48</f>
        <v>14062.5</v>
      </c>
      <c r="L28" s="35">
        <f>(E28+F28+J28+K28)*Parâmetros!$B$16</f>
        <v>2119.3649999999998</v>
      </c>
      <c r="M28" s="36">
        <f t="shared" si="2"/>
        <v>72764.865000000005</v>
      </c>
      <c r="N28" s="11">
        <f t="shared" si="3"/>
        <v>491610.13500000001</v>
      </c>
      <c r="O28" s="35">
        <f>MAX(0,N28)*Parâmetros!$B$19</f>
        <v>172063.54725</v>
      </c>
      <c r="P28" s="11">
        <f t="shared" si="4"/>
        <v>319546.58775000001</v>
      </c>
      <c r="Q28" s="35">
        <f>I28*Parâmetros!$B$17</f>
        <v>45150</v>
      </c>
      <c r="R28" s="35">
        <f>MAX(0,-T27)*Parâmetros!$B$22</f>
        <v>2729.5342338849382</v>
      </c>
      <c r="S28" s="11">
        <f t="shared" si="5"/>
        <v>271667.05351611506</v>
      </c>
      <c r="T28" s="11">
        <f t="shared" si="6"/>
        <v>89698.104590452509</v>
      </c>
    </row>
    <row r="29" spans="1:20" ht="15" customHeight="1" x14ac:dyDescent="0.2">
      <c r="A29" s="37">
        <v>26</v>
      </c>
      <c r="B29" s="38">
        <f t="shared" si="0"/>
        <v>3</v>
      </c>
      <c r="C29" s="7" t="s">
        <v>103</v>
      </c>
      <c r="D29" s="40">
        <v>10</v>
      </c>
      <c r="E29" s="34">
        <v>8333</v>
      </c>
      <c r="F29" s="34">
        <v>3250</v>
      </c>
      <c r="G29" s="39">
        <f>D29*Parâmetros!$B$4*Parâmetros!$B$8</f>
        <v>525000</v>
      </c>
      <c r="H29" s="39">
        <f>SUMPRODUCT(($D$4:D28)*($A$4:A28&gt;=(A29-Parâmetros!$B$10)))*Parâmetros!$B$11</f>
        <v>41250.000000000007</v>
      </c>
      <c r="I29" s="41">
        <f t="shared" si="1"/>
        <v>566250</v>
      </c>
      <c r="J29" s="39">
        <f>D29*Parâmetros!$B$4*Parâmetros!$B$13</f>
        <v>45000</v>
      </c>
      <c r="K29" s="39">
        <f>Parâmetros!$B$6*Parâmetros!$B$14/48</f>
        <v>14062.5</v>
      </c>
      <c r="L29" s="39">
        <f>(E29+F29+J29+K29)*Parâmetros!$B$16</f>
        <v>2119.3649999999998</v>
      </c>
      <c r="M29" s="36">
        <f t="shared" si="2"/>
        <v>72764.865000000005</v>
      </c>
      <c r="N29" s="9">
        <f t="shared" si="3"/>
        <v>493485.13500000001</v>
      </c>
      <c r="O29" s="39">
        <f>MAX(0,N29)*Parâmetros!$B$19</f>
        <v>172719.79725</v>
      </c>
      <c r="P29" s="9">
        <f t="shared" si="4"/>
        <v>320765.33775000001</v>
      </c>
      <c r="Q29" s="39">
        <f>I29*Parâmetros!$B$17</f>
        <v>45300</v>
      </c>
      <c r="R29" s="39">
        <f>MAX(0,-T28)*Parâmetros!$B$22</f>
        <v>0</v>
      </c>
      <c r="S29" s="9">
        <f t="shared" si="5"/>
        <v>275465.33775000001</v>
      </c>
      <c r="T29" s="9">
        <f t="shared" si="6"/>
        <v>365163.44234045252</v>
      </c>
    </row>
    <row r="30" spans="1:20" ht="15" customHeight="1" x14ac:dyDescent="0.2">
      <c r="A30" s="32">
        <v>27</v>
      </c>
      <c r="B30" s="33">
        <f t="shared" si="0"/>
        <v>3</v>
      </c>
      <c r="C30" s="4" t="s">
        <v>104</v>
      </c>
      <c r="D30" s="40">
        <v>10</v>
      </c>
      <c r="E30" s="34">
        <v>8333</v>
      </c>
      <c r="F30" s="34">
        <v>3250</v>
      </c>
      <c r="G30" s="35">
        <f>D30*Parâmetros!$B$4*Parâmetros!$B$8</f>
        <v>525000</v>
      </c>
      <c r="H30" s="35">
        <f>SUMPRODUCT(($D$4:D29)*($A$4:A29&gt;=(A30-Parâmetros!$B$10)))*Parâmetros!$B$11</f>
        <v>43125.000000000007</v>
      </c>
      <c r="I30" s="41">
        <f t="shared" si="1"/>
        <v>568125</v>
      </c>
      <c r="J30" s="35">
        <f>D30*Parâmetros!$B$4*Parâmetros!$B$13</f>
        <v>45000</v>
      </c>
      <c r="K30" s="35">
        <f>Parâmetros!$B$6*Parâmetros!$B$14/48</f>
        <v>14062.5</v>
      </c>
      <c r="L30" s="35">
        <f>(E30+F30+J30+K30)*Parâmetros!$B$16</f>
        <v>2119.3649999999998</v>
      </c>
      <c r="M30" s="36">
        <f t="shared" si="2"/>
        <v>72764.865000000005</v>
      </c>
      <c r="N30" s="11">
        <f t="shared" si="3"/>
        <v>495360.13500000001</v>
      </c>
      <c r="O30" s="35">
        <f>MAX(0,N30)*Parâmetros!$B$19</f>
        <v>173376.04725</v>
      </c>
      <c r="P30" s="11">
        <f t="shared" si="4"/>
        <v>321984.08775000001</v>
      </c>
      <c r="Q30" s="35">
        <f>I30*Parâmetros!$B$17</f>
        <v>45450</v>
      </c>
      <c r="R30" s="35">
        <f>MAX(0,-T29)*Parâmetros!$B$22</f>
        <v>0</v>
      </c>
      <c r="S30" s="11">
        <f t="shared" si="5"/>
        <v>276534.08775000001</v>
      </c>
      <c r="T30" s="11">
        <f t="shared" si="6"/>
        <v>641697.53009045252</v>
      </c>
    </row>
    <row r="31" spans="1:20" ht="15" customHeight="1" x14ac:dyDescent="0.2">
      <c r="A31" s="37">
        <v>28</v>
      </c>
      <c r="B31" s="38">
        <f t="shared" si="0"/>
        <v>3</v>
      </c>
      <c r="C31" s="7" t="s">
        <v>105</v>
      </c>
      <c r="D31" s="40">
        <v>10</v>
      </c>
      <c r="E31" s="34">
        <v>8333</v>
      </c>
      <c r="F31" s="34">
        <v>3250</v>
      </c>
      <c r="G31" s="39">
        <f>D31*Parâmetros!$B$4*Parâmetros!$B$8</f>
        <v>525000</v>
      </c>
      <c r="H31" s="39">
        <f>SUMPRODUCT(($D$4:D30)*($A$4:A30&gt;=(A31-Parâmetros!$B$10)))*Parâmetros!$B$11</f>
        <v>45000.000000000007</v>
      </c>
      <c r="I31" s="41">
        <f t="shared" si="1"/>
        <v>570000</v>
      </c>
      <c r="J31" s="39">
        <f>D31*Parâmetros!$B$4*Parâmetros!$B$13</f>
        <v>45000</v>
      </c>
      <c r="K31" s="39">
        <f>Parâmetros!$B$6*Parâmetros!$B$14/48</f>
        <v>14062.5</v>
      </c>
      <c r="L31" s="39">
        <f>(E31+F31+J31+K31)*Parâmetros!$B$16</f>
        <v>2119.3649999999998</v>
      </c>
      <c r="M31" s="36">
        <f t="shared" si="2"/>
        <v>72764.865000000005</v>
      </c>
      <c r="N31" s="9">
        <f t="shared" si="3"/>
        <v>497235.13500000001</v>
      </c>
      <c r="O31" s="39">
        <f>MAX(0,N31)*Parâmetros!$B$19</f>
        <v>174032.29725</v>
      </c>
      <c r="P31" s="9">
        <f t="shared" si="4"/>
        <v>323202.83775000001</v>
      </c>
      <c r="Q31" s="39">
        <f>I31*Parâmetros!$B$17</f>
        <v>45600</v>
      </c>
      <c r="R31" s="39">
        <f>MAX(0,-T30)*Parâmetros!$B$22</f>
        <v>0</v>
      </c>
      <c r="S31" s="9">
        <f t="shared" si="5"/>
        <v>277602.83775000001</v>
      </c>
      <c r="T31" s="9">
        <f t="shared" si="6"/>
        <v>919300.36784045259</v>
      </c>
    </row>
    <row r="32" spans="1:20" ht="15" customHeight="1" x14ac:dyDescent="0.2">
      <c r="A32" s="32">
        <v>29</v>
      </c>
      <c r="B32" s="33">
        <f t="shared" si="0"/>
        <v>3</v>
      </c>
      <c r="C32" s="4" t="s">
        <v>106</v>
      </c>
      <c r="D32" s="40">
        <v>10</v>
      </c>
      <c r="E32" s="34">
        <v>8333</v>
      </c>
      <c r="F32" s="34">
        <v>3250</v>
      </c>
      <c r="G32" s="35">
        <f>D32*Parâmetros!$B$4*Parâmetros!$B$8</f>
        <v>525000</v>
      </c>
      <c r="H32" s="35">
        <f>SUMPRODUCT(($D$4:D31)*($A$4:A31&gt;=(A32-Parâmetros!$B$10)))*Parâmetros!$B$11</f>
        <v>46875.000000000007</v>
      </c>
      <c r="I32" s="41">
        <f t="shared" si="1"/>
        <v>571875</v>
      </c>
      <c r="J32" s="35">
        <f>D32*Parâmetros!$B$4*Parâmetros!$B$13</f>
        <v>45000</v>
      </c>
      <c r="K32" s="35">
        <f>Parâmetros!$B$6*Parâmetros!$B$14/48</f>
        <v>14062.5</v>
      </c>
      <c r="L32" s="35">
        <f>(E32+F32+J32+K32)*Parâmetros!$B$16</f>
        <v>2119.3649999999998</v>
      </c>
      <c r="M32" s="36">
        <f t="shared" si="2"/>
        <v>72764.865000000005</v>
      </c>
      <c r="N32" s="11">
        <f t="shared" si="3"/>
        <v>499110.13500000001</v>
      </c>
      <c r="O32" s="35">
        <f>MAX(0,N32)*Parâmetros!$B$19</f>
        <v>174688.54725</v>
      </c>
      <c r="P32" s="11">
        <f t="shared" si="4"/>
        <v>324421.58775000001</v>
      </c>
      <c r="Q32" s="35">
        <f>I32*Parâmetros!$B$17</f>
        <v>45750</v>
      </c>
      <c r="R32" s="35">
        <f>MAX(0,-T31)*Parâmetros!$B$22</f>
        <v>0</v>
      </c>
      <c r="S32" s="11">
        <f t="shared" si="5"/>
        <v>278671.58775000001</v>
      </c>
      <c r="T32" s="11">
        <f t="shared" si="6"/>
        <v>1197971.9555904525</v>
      </c>
    </row>
    <row r="33" spans="1:20" ht="15" customHeight="1" x14ac:dyDescent="0.2">
      <c r="A33" s="37">
        <v>30</v>
      </c>
      <c r="B33" s="38">
        <f t="shared" si="0"/>
        <v>3</v>
      </c>
      <c r="C33" s="7" t="s">
        <v>107</v>
      </c>
      <c r="D33" s="40">
        <v>10</v>
      </c>
      <c r="E33" s="34">
        <v>8333</v>
      </c>
      <c r="F33" s="34">
        <v>3250</v>
      </c>
      <c r="G33" s="39">
        <f>D33*Parâmetros!$B$4*Parâmetros!$B$8</f>
        <v>525000</v>
      </c>
      <c r="H33" s="39">
        <f>SUMPRODUCT(($D$4:D32)*($A$4:A32&gt;=(A33-Parâmetros!$B$10)))*Parâmetros!$B$11</f>
        <v>48750.000000000007</v>
      </c>
      <c r="I33" s="41">
        <f t="shared" si="1"/>
        <v>573750</v>
      </c>
      <c r="J33" s="39">
        <f>D33*Parâmetros!$B$4*Parâmetros!$B$13</f>
        <v>45000</v>
      </c>
      <c r="K33" s="39">
        <f>Parâmetros!$B$6*Parâmetros!$B$14/48</f>
        <v>14062.5</v>
      </c>
      <c r="L33" s="39">
        <f>(E33+F33+J33+K33)*Parâmetros!$B$16</f>
        <v>2119.3649999999998</v>
      </c>
      <c r="M33" s="36">
        <f t="shared" si="2"/>
        <v>72764.865000000005</v>
      </c>
      <c r="N33" s="9">
        <f t="shared" si="3"/>
        <v>500985.13500000001</v>
      </c>
      <c r="O33" s="39">
        <f>MAX(0,N33)*Parâmetros!$B$19</f>
        <v>175344.79725</v>
      </c>
      <c r="P33" s="9">
        <f t="shared" si="4"/>
        <v>325640.33775000001</v>
      </c>
      <c r="Q33" s="39">
        <f>I33*Parâmetros!$B$17</f>
        <v>45900</v>
      </c>
      <c r="R33" s="39">
        <f>MAX(0,-T32)*Parâmetros!$B$22</f>
        <v>0</v>
      </c>
      <c r="S33" s="9">
        <f t="shared" si="5"/>
        <v>279740.33775000001</v>
      </c>
      <c r="T33" s="9">
        <f t="shared" si="6"/>
        <v>1477712.2933404525</v>
      </c>
    </row>
    <row r="34" spans="1:20" ht="15" customHeight="1" x14ac:dyDescent="0.2">
      <c r="A34" s="32">
        <v>31</v>
      </c>
      <c r="B34" s="33">
        <f t="shared" si="0"/>
        <v>3</v>
      </c>
      <c r="C34" s="4" t="s">
        <v>108</v>
      </c>
      <c r="D34" s="40">
        <v>10</v>
      </c>
      <c r="E34" s="34">
        <v>8333</v>
      </c>
      <c r="F34" s="34">
        <v>3250</v>
      </c>
      <c r="G34" s="35">
        <f>D34*Parâmetros!$B$4*Parâmetros!$B$8</f>
        <v>525000</v>
      </c>
      <c r="H34" s="35">
        <f>SUMPRODUCT(($D$4:D33)*($A$4:A33&gt;=(A34-Parâmetros!$B$10)))*Parâmetros!$B$11</f>
        <v>50625.000000000007</v>
      </c>
      <c r="I34" s="41">
        <f t="shared" si="1"/>
        <v>575625</v>
      </c>
      <c r="J34" s="35">
        <f>D34*Parâmetros!$B$4*Parâmetros!$B$13</f>
        <v>45000</v>
      </c>
      <c r="K34" s="35">
        <f>Parâmetros!$B$6*Parâmetros!$B$14/48</f>
        <v>14062.5</v>
      </c>
      <c r="L34" s="35">
        <f>(E34+F34+J34+K34)*Parâmetros!$B$16</f>
        <v>2119.3649999999998</v>
      </c>
      <c r="M34" s="36">
        <f t="shared" si="2"/>
        <v>72764.865000000005</v>
      </c>
      <c r="N34" s="11">
        <f t="shared" si="3"/>
        <v>502860.13500000001</v>
      </c>
      <c r="O34" s="35">
        <f>MAX(0,N34)*Parâmetros!$B$19</f>
        <v>176001.04725</v>
      </c>
      <c r="P34" s="11">
        <f t="shared" si="4"/>
        <v>326859.08775000001</v>
      </c>
      <c r="Q34" s="35">
        <f>I34*Parâmetros!$B$17</f>
        <v>46050</v>
      </c>
      <c r="R34" s="35">
        <f>MAX(0,-T33)*Parâmetros!$B$22</f>
        <v>0</v>
      </c>
      <c r="S34" s="11">
        <f t="shared" si="5"/>
        <v>280809.08775000001</v>
      </c>
      <c r="T34" s="11">
        <f t="shared" si="6"/>
        <v>1758521.3810904524</v>
      </c>
    </row>
    <row r="35" spans="1:20" ht="15" customHeight="1" x14ac:dyDescent="0.2">
      <c r="A35" s="37">
        <v>32</v>
      </c>
      <c r="B35" s="38">
        <f t="shared" si="0"/>
        <v>3</v>
      </c>
      <c r="C35" s="7" t="s">
        <v>109</v>
      </c>
      <c r="D35" s="40">
        <v>10</v>
      </c>
      <c r="E35" s="34">
        <v>8333</v>
      </c>
      <c r="F35" s="34">
        <v>3250</v>
      </c>
      <c r="G35" s="39">
        <f>D35*Parâmetros!$B$4*Parâmetros!$B$8</f>
        <v>525000</v>
      </c>
      <c r="H35" s="39">
        <f>SUMPRODUCT(($D$4:D34)*($A$4:A34&gt;=(A35-Parâmetros!$B$10)))*Parâmetros!$B$11</f>
        <v>52500.000000000007</v>
      </c>
      <c r="I35" s="41">
        <f t="shared" si="1"/>
        <v>577500</v>
      </c>
      <c r="J35" s="39">
        <f>D35*Parâmetros!$B$4*Parâmetros!$B$13</f>
        <v>45000</v>
      </c>
      <c r="K35" s="39">
        <f>Parâmetros!$B$6*Parâmetros!$B$14/48</f>
        <v>14062.5</v>
      </c>
      <c r="L35" s="39">
        <f>(E35+F35+J35+K35)*Parâmetros!$B$16</f>
        <v>2119.3649999999998</v>
      </c>
      <c r="M35" s="36">
        <f t="shared" si="2"/>
        <v>72764.865000000005</v>
      </c>
      <c r="N35" s="9">
        <f t="shared" si="3"/>
        <v>504735.13500000001</v>
      </c>
      <c r="O35" s="39">
        <f>MAX(0,N35)*Parâmetros!$B$19</f>
        <v>176657.29725</v>
      </c>
      <c r="P35" s="9">
        <f t="shared" si="4"/>
        <v>328077.83775000001</v>
      </c>
      <c r="Q35" s="39">
        <f>I35*Parâmetros!$B$17</f>
        <v>46200</v>
      </c>
      <c r="R35" s="39">
        <f>MAX(0,-T34)*Parâmetros!$B$22</f>
        <v>0</v>
      </c>
      <c r="S35" s="9">
        <f t="shared" si="5"/>
        <v>281877.83775000001</v>
      </c>
      <c r="T35" s="9">
        <f t="shared" si="6"/>
        <v>2040399.2188404524</v>
      </c>
    </row>
    <row r="36" spans="1:20" ht="15" customHeight="1" x14ac:dyDescent="0.2">
      <c r="A36" s="32">
        <v>33</v>
      </c>
      <c r="B36" s="33">
        <f t="shared" si="0"/>
        <v>3</v>
      </c>
      <c r="C36" s="4" t="s">
        <v>110</v>
      </c>
      <c r="D36" s="40">
        <v>10</v>
      </c>
      <c r="E36" s="34">
        <v>8333</v>
      </c>
      <c r="F36" s="34">
        <v>3250</v>
      </c>
      <c r="G36" s="35">
        <f>D36*Parâmetros!$B$4*Parâmetros!$B$8</f>
        <v>525000</v>
      </c>
      <c r="H36" s="35">
        <f>SUMPRODUCT(($D$4:D35)*($A$4:A35&gt;=(A36-Parâmetros!$B$10)))*Parâmetros!$B$11</f>
        <v>54375.000000000007</v>
      </c>
      <c r="I36" s="41">
        <f t="shared" si="1"/>
        <v>579375</v>
      </c>
      <c r="J36" s="35">
        <f>D36*Parâmetros!$B$4*Parâmetros!$B$13</f>
        <v>45000</v>
      </c>
      <c r="K36" s="35">
        <f>Parâmetros!$B$6*Parâmetros!$B$14/48</f>
        <v>14062.5</v>
      </c>
      <c r="L36" s="35">
        <f>(E36+F36+J36+K36)*Parâmetros!$B$16</f>
        <v>2119.3649999999998</v>
      </c>
      <c r="M36" s="36">
        <f t="shared" si="2"/>
        <v>72764.865000000005</v>
      </c>
      <c r="N36" s="11">
        <f t="shared" si="3"/>
        <v>506610.13500000001</v>
      </c>
      <c r="O36" s="35">
        <f>MAX(0,N36)*Parâmetros!$B$19</f>
        <v>177313.54725</v>
      </c>
      <c r="P36" s="11">
        <f t="shared" si="4"/>
        <v>329296.58775000001</v>
      </c>
      <c r="Q36" s="35">
        <f>I36*Parâmetros!$B$17</f>
        <v>46350</v>
      </c>
      <c r="R36" s="35">
        <f>MAX(0,-T35)*Parâmetros!$B$22</f>
        <v>0</v>
      </c>
      <c r="S36" s="11">
        <f t="shared" si="5"/>
        <v>282946.58775000001</v>
      </c>
      <c r="T36" s="11">
        <f t="shared" si="6"/>
        <v>2323345.8065904523</v>
      </c>
    </row>
    <row r="37" spans="1:20" ht="15" customHeight="1" x14ac:dyDescent="0.2">
      <c r="A37" s="37">
        <v>34</v>
      </c>
      <c r="B37" s="38">
        <f t="shared" si="0"/>
        <v>3</v>
      </c>
      <c r="C37" s="7" t="s">
        <v>111</v>
      </c>
      <c r="D37" s="40">
        <v>10</v>
      </c>
      <c r="E37" s="34">
        <v>8333</v>
      </c>
      <c r="F37" s="34">
        <v>3250</v>
      </c>
      <c r="G37" s="39">
        <f>D37*Parâmetros!$B$4*Parâmetros!$B$8</f>
        <v>525000</v>
      </c>
      <c r="H37" s="39">
        <f>SUMPRODUCT(($D$4:D36)*($A$4:A36&gt;=(A37-Parâmetros!$B$10)))*Parâmetros!$B$11</f>
        <v>56250.000000000007</v>
      </c>
      <c r="I37" s="41">
        <f t="shared" si="1"/>
        <v>581250</v>
      </c>
      <c r="J37" s="39">
        <f>D37*Parâmetros!$B$4*Parâmetros!$B$13</f>
        <v>45000</v>
      </c>
      <c r="K37" s="39">
        <f>Parâmetros!$B$6*Parâmetros!$B$14/48</f>
        <v>14062.5</v>
      </c>
      <c r="L37" s="39">
        <f>(E37+F37+J37+K37)*Parâmetros!$B$16</f>
        <v>2119.3649999999998</v>
      </c>
      <c r="M37" s="36">
        <f t="shared" si="2"/>
        <v>72764.865000000005</v>
      </c>
      <c r="N37" s="9">
        <f t="shared" si="3"/>
        <v>508485.13500000001</v>
      </c>
      <c r="O37" s="39">
        <f>MAX(0,N37)*Parâmetros!$B$19</f>
        <v>177969.79725</v>
      </c>
      <c r="P37" s="9">
        <f t="shared" si="4"/>
        <v>330515.33775000001</v>
      </c>
      <c r="Q37" s="39">
        <f>I37*Parâmetros!$B$17</f>
        <v>46500</v>
      </c>
      <c r="R37" s="39">
        <f>MAX(0,-T36)*Parâmetros!$B$22</f>
        <v>0</v>
      </c>
      <c r="S37" s="9">
        <f t="shared" si="5"/>
        <v>284015.33775000001</v>
      </c>
      <c r="T37" s="9">
        <f t="shared" si="6"/>
        <v>2607361.1443404523</v>
      </c>
    </row>
    <row r="38" spans="1:20" ht="15" customHeight="1" x14ac:dyDescent="0.2">
      <c r="A38" s="32">
        <v>35</v>
      </c>
      <c r="B38" s="33">
        <f t="shared" si="0"/>
        <v>3</v>
      </c>
      <c r="C38" s="4" t="s">
        <v>112</v>
      </c>
      <c r="D38" s="40">
        <v>10</v>
      </c>
      <c r="E38" s="34">
        <v>8333</v>
      </c>
      <c r="F38" s="34">
        <v>3250</v>
      </c>
      <c r="G38" s="35">
        <f>D38*Parâmetros!$B$4*Parâmetros!$B$8</f>
        <v>525000</v>
      </c>
      <c r="H38" s="35">
        <f>SUMPRODUCT(($D$4:D37)*($A$4:A37&gt;=(A38-Parâmetros!$B$10)))*Parâmetros!$B$11</f>
        <v>58125.000000000007</v>
      </c>
      <c r="I38" s="41">
        <f t="shared" si="1"/>
        <v>583125</v>
      </c>
      <c r="J38" s="35">
        <f>D38*Parâmetros!$B$4*Parâmetros!$B$13</f>
        <v>45000</v>
      </c>
      <c r="K38" s="35">
        <f>Parâmetros!$B$6*Parâmetros!$B$14/48</f>
        <v>14062.5</v>
      </c>
      <c r="L38" s="35">
        <f>(E38+F38+J38+K38)*Parâmetros!$B$16</f>
        <v>2119.3649999999998</v>
      </c>
      <c r="M38" s="36">
        <f t="shared" si="2"/>
        <v>72764.865000000005</v>
      </c>
      <c r="N38" s="11">
        <f t="shared" si="3"/>
        <v>510360.13500000001</v>
      </c>
      <c r="O38" s="35">
        <f>MAX(0,N38)*Parâmetros!$B$19</f>
        <v>178626.04725</v>
      </c>
      <c r="P38" s="11">
        <f t="shared" si="4"/>
        <v>331734.08775000001</v>
      </c>
      <c r="Q38" s="35">
        <f>I38*Parâmetros!$B$17</f>
        <v>46650</v>
      </c>
      <c r="R38" s="35">
        <f>MAX(0,-T37)*Parâmetros!$B$22</f>
        <v>0</v>
      </c>
      <c r="S38" s="11">
        <f t="shared" si="5"/>
        <v>285084.08775000001</v>
      </c>
      <c r="T38" s="11">
        <f t="shared" si="6"/>
        <v>2892445.2320904522</v>
      </c>
    </row>
    <row r="39" spans="1:20" ht="15" customHeight="1" x14ac:dyDescent="0.2">
      <c r="A39" s="37">
        <v>36</v>
      </c>
      <c r="B39" s="38">
        <f t="shared" si="0"/>
        <v>3</v>
      </c>
      <c r="C39" s="7" t="s">
        <v>113</v>
      </c>
      <c r="D39" s="40">
        <v>10</v>
      </c>
      <c r="E39" s="34">
        <v>8333</v>
      </c>
      <c r="F39" s="34">
        <v>3250</v>
      </c>
      <c r="G39" s="39">
        <f>D39*Parâmetros!$B$4*Parâmetros!$B$8</f>
        <v>525000</v>
      </c>
      <c r="H39" s="39">
        <f>SUMPRODUCT(($D$4:D38)*($A$4:A38&gt;=(A39-Parâmetros!$B$10)))*Parâmetros!$B$11</f>
        <v>60000.000000000007</v>
      </c>
      <c r="I39" s="41">
        <f t="shared" si="1"/>
        <v>585000</v>
      </c>
      <c r="J39" s="39">
        <f>D39*Parâmetros!$B$4*Parâmetros!$B$13</f>
        <v>45000</v>
      </c>
      <c r="K39" s="39">
        <f>Parâmetros!$B$6*Parâmetros!$B$14/48</f>
        <v>14062.5</v>
      </c>
      <c r="L39" s="39">
        <f>(E39+F39+J39+K39)*Parâmetros!$B$16</f>
        <v>2119.3649999999998</v>
      </c>
      <c r="M39" s="36">
        <f t="shared" si="2"/>
        <v>72764.865000000005</v>
      </c>
      <c r="N39" s="9">
        <f t="shared" si="3"/>
        <v>512235.13500000001</v>
      </c>
      <c r="O39" s="39">
        <f>MAX(0,N39)*Parâmetros!$B$19</f>
        <v>179282.29725</v>
      </c>
      <c r="P39" s="9">
        <f t="shared" si="4"/>
        <v>332952.83775000001</v>
      </c>
      <c r="Q39" s="39">
        <f>I39*Parâmetros!$B$17</f>
        <v>46800</v>
      </c>
      <c r="R39" s="39">
        <f>MAX(0,-T38)*Parâmetros!$B$22</f>
        <v>0</v>
      </c>
      <c r="S39" s="9">
        <f t="shared" si="5"/>
        <v>286152.83775000001</v>
      </c>
      <c r="T39" s="9">
        <f t="shared" si="6"/>
        <v>3178598.0698404522</v>
      </c>
    </row>
    <row r="40" spans="1:20" ht="15" customHeight="1" x14ac:dyDescent="0.2">
      <c r="A40" s="32">
        <v>37</v>
      </c>
      <c r="B40" s="33">
        <f t="shared" si="0"/>
        <v>4</v>
      </c>
      <c r="C40" s="4" t="s">
        <v>102</v>
      </c>
      <c r="D40" s="33">
        <v>0</v>
      </c>
      <c r="E40" s="34">
        <v>8333</v>
      </c>
      <c r="F40" s="34">
        <v>3250</v>
      </c>
      <c r="G40" s="35">
        <f>D40*Parâmetros!$B$4*Parâmetros!$B$8</f>
        <v>0</v>
      </c>
      <c r="H40" s="35">
        <f>SUMPRODUCT(($D$4:D39)*($A$4:A39&gt;=(A40-Parâmetros!$B$10)))*Parâmetros!$B$11</f>
        <v>61875.000000000007</v>
      </c>
      <c r="I40" s="11">
        <f t="shared" si="1"/>
        <v>61875.000000000007</v>
      </c>
      <c r="J40" s="35">
        <f>D40*Parâmetros!$B$4*Parâmetros!$B$13</f>
        <v>0</v>
      </c>
      <c r="K40" s="35">
        <f>Parâmetros!$B$6*Parâmetros!$B$14/48</f>
        <v>14062.5</v>
      </c>
      <c r="L40" s="35">
        <f>(E40+F40+J40+K40)*Parâmetros!$B$16</f>
        <v>769.36500000000001</v>
      </c>
      <c r="M40" s="36">
        <f t="shared" si="2"/>
        <v>26414.865000000002</v>
      </c>
      <c r="N40" s="11">
        <f t="shared" si="3"/>
        <v>35460.135000000009</v>
      </c>
      <c r="O40" s="35">
        <f>MAX(0,N40)*Parâmetros!$B$19</f>
        <v>12411.047250000003</v>
      </c>
      <c r="P40" s="11">
        <f t="shared" si="4"/>
        <v>23049.087750000006</v>
      </c>
      <c r="Q40" s="35">
        <f>I40*Parâmetros!$B$17</f>
        <v>4950.0000000000009</v>
      </c>
      <c r="R40" s="35">
        <f>MAX(0,-T39)*Parâmetros!$B$22</f>
        <v>0</v>
      </c>
      <c r="S40" s="11">
        <f t="shared" si="5"/>
        <v>18099.087750000006</v>
      </c>
      <c r="T40" s="11">
        <f t="shared" si="6"/>
        <v>3196697.1575904521</v>
      </c>
    </row>
    <row r="41" spans="1:20" ht="15" customHeight="1" x14ac:dyDescent="0.2">
      <c r="A41" s="37">
        <v>38</v>
      </c>
      <c r="B41" s="38">
        <f t="shared" si="0"/>
        <v>4</v>
      </c>
      <c r="C41" s="7" t="s">
        <v>103</v>
      </c>
      <c r="D41" s="38">
        <v>0</v>
      </c>
      <c r="E41" s="34">
        <v>8333</v>
      </c>
      <c r="F41" s="34">
        <v>3250</v>
      </c>
      <c r="G41" s="39">
        <f>D41*Parâmetros!$B$4*Parâmetros!$B$8</f>
        <v>0</v>
      </c>
      <c r="H41" s="39">
        <f>SUMPRODUCT(($D$4:D40)*($A$4:A40&gt;=(A41-Parâmetros!$B$10)))*Parâmetros!$B$11</f>
        <v>61875.000000000007</v>
      </c>
      <c r="I41" s="9">
        <f t="shared" si="1"/>
        <v>61875.000000000007</v>
      </c>
      <c r="J41" s="39">
        <f>D41*Parâmetros!$B$4*Parâmetros!$B$13</f>
        <v>0</v>
      </c>
      <c r="K41" s="39">
        <f>Parâmetros!$B$6*Parâmetros!$B$14/48</f>
        <v>14062.5</v>
      </c>
      <c r="L41" s="39">
        <f>(E41+F41+J41+K41)*Parâmetros!$B$16</f>
        <v>769.36500000000001</v>
      </c>
      <c r="M41" s="36">
        <f t="shared" si="2"/>
        <v>26414.865000000002</v>
      </c>
      <c r="N41" s="9">
        <f t="shared" si="3"/>
        <v>35460.135000000009</v>
      </c>
      <c r="O41" s="39">
        <f>MAX(0,N41)*Parâmetros!$B$19</f>
        <v>12411.047250000003</v>
      </c>
      <c r="P41" s="9">
        <f t="shared" si="4"/>
        <v>23049.087750000006</v>
      </c>
      <c r="Q41" s="39">
        <f>I41*Parâmetros!$B$17</f>
        <v>4950.0000000000009</v>
      </c>
      <c r="R41" s="39">
        <f>MAX(0,-T40)*Parâmetros!$B$22</f>
        <v>0</v>
      </c>
      <c r="S41" s="9">
        <f t="shared" si="5"/>
        <v>18099.087750000006</v>
      </c>
      <c r="T41" s="9">
        <f t="shared" si="6"/>
        <v>3214796.2453404521</v>
      </c>
    </row>
    <row r="42" spans="1:20" ht="15" customHeight="1" x14ac:dyDescent="0.2">
      <c r="A42" s="32">
        <v>39</v>
      </c>
      <c r="B42" s="33">
        <f t="shared" si="0"/>
        <v>4</v>
      </c>
      <c r="C42" s="4" t="s">
        <v>104</v>
      </c>
      <c r="D42" s="33">
        <v>0</v>
      </c>
      <c r="E42" s="34">
        <v>8333</v>
      </c>
      <c r="F42" s="34">
        <v>3250</v>
      </c>
      <c r="G42" s="35">
        <f>D42*Parâmetros!$B$4*Parâmetros!$B$8</f>
        <v>0</v>
      </c>
      <c r="H42" s="35">
        <f>SUMPRODUCT(($D$4:D41)*($A$4:A41&gt;=(A42-Parâmetros!$B$10)))*Parâmetros!$B$11</f>
        <v>61875.000000000007</v>
      </c>
      <c r="I42" s="11">
        <f t="shared" si="1"/>
        <v>61875.000000000007</v>
      </c>
      <c r="J42" s="35">
        <f>D42*Parâmetros!$B$4*Parâmetros!$B$13</f>
        <v>0</v>
      </c>
      <c r="K42" s="35">
        <f>Parâmetros!$B$6*Parâmetros!$B$14/48</f>
        <v>14062.5</v>
      </c>
      <c r="L42" s="35">
        <f>(E42+F42+J42+K42)*Parâmetros!$B$16</f>
        <v>769.36500000000001</v>
      </c>
      <c r="M42" s="36">
        <f t="shared" si="2"/>
        <v>26414.865000000002</v>
      </c>
      <c r="N42" s="11">
        <f t="shared" si="3"/>
        <v>35460.135000000009</v>
      </c>
      <c r="O42" s="35">
        <f>MAX(0,N42)*Parâmetros!$B$19</f>
        <v>12411.047250000003</v>
      </c>
      <c r="P42" s="11">
        <f t="shared" si="4"/>
        <v>23049.087750000006</v>
      </c>
      <c r="Q42" s="35">
        <f>I42*Parâmetros!$B$17</f>
        <v>4950.0000000000009</v>
      </c>
      <c r="R42" s="35">
        <f>MAX(0,-T41)*Parâmetros!$B$22</f>
        <v>0</v>
      </c>
      <c r="S42" s="11">
        <f t="shared" si="5"/>
        <v>18099.087750000006</v>
      </c>
      <c r="T42" s="11">
        <f t="shared" si="6"/>
        <v>3232895.333090452</v>
      </c>
    </row>
    <row r="43" spans="1:20" ht="15" customHeight="1" x14ac:dyDescent="0.2">
      <c r="A43" s="37">
        <v>40</v>
      </c>
      <c r="B43" s="38">
        <f t="shared" si="0"/>
        <v>4</v>
      </c>
      <c r="C43" s="7" t="s">
        <v>105</v>
      </c>
      <c r="D43" s="38">
        <v>0</v>
      </c>
      <c r="E43" s="34">
        <v>8333</v>
      </c>
      <c r="F43" s="34">
        <v>3250</v>
      </c>
      <c r="G43" s="39">
        <f>D43*Parâmetros!$B$4*Parâmetros!$B$8</f>
        <v>0</v>
      </c>
      <c r="H43" s="39">
        <f>SUMPRODUCT(($D$4:D42)*($A$4:A42&gt;=(A43-Parâmetros!$B$10)))*Parâmetros!$B$11</f>
        <v>61875.000000000007</v>
      </c>
      <c r="I43" s="9">
        <f t="shared" si="1"/>
        <v>61875.000000000007</v>
      </c>
      <c r="J43" s="39">
        <f>D43*Parâmetros!$B$4*Parâmetros!$B$13</f>
        <v>0</v>
      </c>
      <c r="K43" s="39">
        <f>Parâmetros!$B$6*Parâmetros!$B$14/48</f>
        <v>14062.5</v>
      </c>
      <c r="L43" s="39">
        <f>(E43+F43+J43+K43)*Parâmetros!$B$16</f>
        <v>769.36500000000001</v>
      </c>
      <c r="M43" s="36">
        <f t="shared" si="2"/>
        <v>26414.865000000002</v>
      </c>
      <c r="N43" s="9">
        <f t="shared" si="3"/>
        <v>35460.135000000009</v>
      </c>
      <c r="O43" s="39">
        <f>MAX(0,N43)*Parâmetros!$B$19</f>
        <v>12411.047250000003</v>
      </c>
      <c r="P43" s="9">
        <f t="shared" si="4"/>
        <v>23049.087750000006</v>
      </c>
      <c r="Q43" s="39">
        <f>I43*Parâmetros!$B$17</f>
        <v>4950.0000000000009</v>
      </c>
      <c r="R43" s="39">
        <f>MAX(0,-T42)*Parâmetros!$B$22</f>
        <v>0</v>
      </c>
      <c r="S43" s="9">
        <f t="shared" si="5"/>
        <v>18099.087750000006</v>
      </c>
      <c r="T43" s="9">
        <f t="shared" si="6"/>
        <v>3250994.420840452</v>
      </c>
    </row>
    <row r="44" spans="1:20" ht="15" customHeight="1" x14ac:dyDescent="0.2">
      <c r="A44" s="32">
        <v>41</v>
      </c>
      <c r="B44" s="33">
        <f t="shared" si="0"/>
        <v>4</v>
      </c>
      <c r="C44" s="4" t="s">
        <v>106</v>
      </c>
      <c r="D44" s="33">
        <v>0</v>
      </c>
      <c r="E44" s="34">
        <v>8333</v>
      </c>
      <c r="F44" s="34">
        <v>3250</v>
      </c>
      <c r="G44" s="35">
        <f>D44*Parâmetros!$B$4*Parâmetros!$B$8</f>
        <v>0</v>
      </c>
      <c r="H44" s="35">
        <f>SUMPRODUCT(($D$4:D43)*($A$4:A43&gt;=(A44-Parâmetros!$B$10)))*Parâmetros!$B$11</f>
        <v>61875.000000000007</v>
      </c>
      <c r="I44" s="11">
        <f t="shared" si="1"/>
        <v>61875.000000000007</v>
      </c>
      <c r="J44" s="35">
        <f>D44*Parâmetros!$B$4*Parâmetros!$B$13</f>
        <v>0</v>
      </c>
      <c r="K44" s="35">
        <f>Parâmetros!$B$6*Parâmetros!$B$14/48</f>
        <v>14062.5</v>
      </c>
      <c r="L44" s="35">
        <f>(E44+F44+J44+K44)*Parâmetros!$B$16</f>
        <v>769.36500000000001</v>
      </c>
      <c r="M44" s="36">
        <f t="shared" si="2"/>
        <v>26414.865000000002</v>
      </c>
      <c r="N44" s="11">
        <f t="shared" si="3"/>
        <v>35460.135000000009</v>
      </c>
      <c r="O44" s="35">
        <f>MAX(0,N44)*Parâmetros!$B$19</f>
        <v>12411.047250000003</v>
      </c>
      <c r="P44" s="11">
        <f t="shared" si="4"/>
        <v>23049.087750000006</v>
      </c>
      <c r="Q44" s="35">
        <f>I44*Parâmetros!$B$17</f>
        <v>4950.0000000000009</v>
      </c>
      <c r="R44" s="35">
        <f>MAX(0,-T43)*Parâmetros!$B$22</f>
        <v>0</v>
      </c>
      <c r="S44" s="11">
        <f t="shared" si="5"/>
        <v>18099.087750000006</v>
      </c>
      <c r="T44" s="11">
        <f t="shared" si="6"/>
        <v>3269093.5085904519</v>
      </c>
    </row>
    <row r="45" spans="1:20" ht="15" customHeight="1" x14ac:dyDescent="0.2">
      <c r="A45" s="37">
        <v>42</v>
      </c>
      <c r="B45" s="38">
        <f t="shared" si="0"/>
        <v>4</v>
      </c>
      <c r="C45" s="7" t="s">
        <v>107</v>
      </c>
      <c r="D45" s="38">
        <v>0</v>
      </c>
      <c r="E45" s="34">
        <v>8333</v>
      </c>
      <c r="F45" s="34">
        <v>3250</v>
      </c>
      <c r="G45" s="39">
        <f>D45*Parâmetros!$B$4*Parâmetros!$B$8</f>
        <v>0</v>
      </c>
      <c r="H45" s="39">
        <f>SUMPRODUCT(($D$4:D44)*($A$4:A44&gt;=(A45-Parâmetros!$B$10)))*Parâmetros!$B$11</f>
        <v>61875.000000000007</v>
      </c>
      <c r="I45" s="9">
        <f t="shared" si="1"/>
        <v>61875.000000000007</v>
      </c>
      <c r="J45" s="39">
        <f>D45*Parâmetros!$B$4*Parâmetros!$B$13</f>
        <v>0</v>
      </c>
      <c r="K45" s="39">
        <f>Parâmetros!$B$6*Parâmetros!$B$14/48</f>
        <v>14062.5</v>
      </c>
      <c r="L45" s="39">
        <f>(E45+F45+J45+K45)*Parâmetros!$B$16</f>
        <v>769.36500000000001</v>
      </c>
      <c r="M45" s="36">
        <f t="shared" si="2"/>
        <v>26414.865000000002</v>
      </c>
      <c r="N45" s="9">
        <f t="shared" si="3"/>
        <v>35460.135000000009</v>
      </c>
      <c r="O45" s="39">
        <f>MAX(0,N45)*Parâmetros!$B$19</f>
        <v>12411.047250000003</v>
      </c>
      <c r="P45" s="9">
        <f t="shared" si="4"/>
        <v>23049.087750000006</v>
      </c>
      <c r="Q45" s="39">
        <f>I45*Parâmetros!$B$17</f>
        <v>4950.0000000000009</v>
      </c>
      <c r="R45" s="39">
        <f>MAX(0,-T44)*Parâmetros!$B$22</f>
        <v>0</v>
      </c>
      <c r="S45" s="9">
        <f t="shared" si="5"/>
        <v>18099.087750000006</v>
      </c>
      <c r="T45" s="9">
        <f t="shared" si="6"/>
        <v>3287192.5963404519</v>
      </c>
    </row>
    <row r="46" spans="1:20" ht="15" customHeight="1" x14ac:dyDescent="0.2">
      <c r="A46" s="32">
        <v>43</v>
      </c>
      <c r="B46" s="33">
        <f t="shared" si="0"/>
        <v>4</v>
      </c>
      <c r="C46" s="4" t="s">
        <v>108</v>
      </c>
      <c r="D46" s="33">
        <v>0</v>
      </c>
      <c r="E46" s="34">
        <v>8333</v>
      </c>
      <c r="F46" s="34">
        <v>3250</v>
      </c>
      <c r="G46" s="35">
        <f>D46*Parâmetros!$B$4*Parâmetros!$B$8</f>
        <v>0</v>
      </c>
      <c r="H46" s="35">
        <f>SUMPRODUCT(($D$4:D45)*($A$4:A45&gt;=(A46-Parâmetros!$B$10)))*Parâmetros!$B$11</f>
        <v>61875.000000000007</v>
      </c>
      <c r="I46" s="11">
        <f t="shared" si="1"/>
        <v>61875.000000000007</v>
      </c>
      <c r="J46" s="35">
        <f>D46*Parâmetros!$B$4*Parâmetros!$B$13</f>
        <v>0</v>
      </c>
      <c r="K46" s="35">
        <f>Parâmetros!$B$6*Parâmetros!$B$14/48</f>
        <v>14062.5</v>
      </c>
      <c r="L46" s="35">
        <f>(E46+F46+J46+K46)*Parâmetros!$B$16</f>
        <v>769.36500000000001</v>
      </c>
      <c r="M46" s="36">
        <f t="shared" si="2"/>
        <v>26414.865000000002</v>
      </c>
      <c r="N46" s="11">
        <f t="shared" si="3"/>
        <v>35460.135000000009</v>
      </c>
      <c r="O46" s="35">
        <f>MAX(0,N46)*Parâmetros!$B$19</f>
        <v>12411.047250000003</v>
      </c>
      <c r="P46" s="11">
        <f t="shared" si="4"/>
        <v>23049.087750000006</v>
      </c>
      <c r="Q46" s="35">
        <f>I46*Parâmetros!$B$17</f>
        <v>4950.0000000000009</v>
      </c>
      <c r="R46" s="35">
        <f>MAX(0,-T45)*Parâmetros!$B$22</f>
        <v>0</v>
      </c>
      <c r="S46" s="11">
        <f t="shared" si="5"/>
        <v>18099.087750000006</v>
      </c>
      <c r="T46" s="11">
        <f t="shared" si="6"/>
        <v>3305291.6840904518</v>
      </c>
    </row>
    <row r="47" spans="1:20" ht="15" customHeight="1" x14ac:dyDescent="0.2">
      <c r="A47" s="37">
        <v>44</v>
      </c>
      <c r="B47" s="38">
        <f t="shared" si="0"/>
        <v>4</v>
      </c>
      <c r="C47" s="7" t="s">
        <v>109</v>
      </c>
      <c r="D47" s="38">
        <v>0</v>
      </c>
      <c r="E47" s="34">
        <v>8333</v>
      </c>
      <c r="F47" s="34">
        <v>3250</v>
      </c>
      <c r="G47" s="39">
        <f>D47*Parâmetros!$B$4*Parâmetros!$B$8</f>
        <v>0</v>
      </c>
      <c r="H47" s="39">
        <f>SUMPRODUCT(($D$4:D46)*($A$4:A46&gt;=(A47-Parâmetros!$B$10)))*Parâmetros!$B$11</f>
        <v>61875.000000000007</v>
      </c>
      <c r="I47" s="9">
        <f t="shared" si="1"/>
        <v>61875.000000000007</v>
      </c>
      <c r="J47" s="39">
        <f>D47*Parâmetros!$B$4*Parâmetros!$B$13</f>
        <v>0</v>
      </c>
      <c r="K47" s="39">
        <f>Parâmetros!$B$6*Parâmetros!$B$14/48</f>
        <v>14062.5</v>
      </c>
      <c r="L47" s="39">
        <f>(E47+F47+J47+K47)*Parâmetros!$B$16</f>
        <v>769.36500000000001</v>
      </c>
      <c r="M47" s="36">
        <f t="shared" si="2"/>
        <v>26414.865000000002</v>
      </c>
      <c r="N47" s="9">
        <f t="shared" si="3"/>
        <v>35460.135000000009</v>
      </c>
      <c r="O47" s="39">
        <f>MAX(0,N47)*Parâmetros!$B$19</f>
        <v>12411.047250000003</v>
      </c>
      <c r="P47" s="9">
        <f t="shared" si="4"/>
        <v>23049.087750000006</v>
      </c>
      <c r="Q47" s="39">
        <f>I47*Parâmetros!$B$17</f>
        <v>4950.0000000000009</v>
      </c>
      <c r="R47" s="39">
        <f>MAX(0,-T46)*Parâmetros!$B$22</f>
        <v>0</v>
      </c>
      <c r="S47" s="9">
        <f t="shared" si="5"/>
        <v>18099.087750000006</v>
      </c>
      <c r="T47" s="9">
        <f t="shared" si="6"/>
        <v>3323390.7718404518</v>
      </c>
    </row>
    <row r="48" spans="1:20" ht="15" customHeight="1" x14ac:dyDescent="0.2">
      <c r="A48" s="32">
        <v>45</v>
      </c>
      <c r="B48" s="33">
        <f t="shared" si="0"/>
        <v>4</v>
      </c>
      <c r="C48" s="4" t="s">
        <v>110</v>
      </c>
      <c r="D48" s="33">
        <v>0</v>
      </c>
      <c r="E48" s="34">
        <v>8333</v>
      </c>
      <c r="F48" s="34">
        <v>3250</v>
      </c>
      <c r="G48" s="35">
        <f>D48*Parâmetros!$B$4*Parâmetros!$B$8</f>
        <v>0</v>
      </c>
      <c r="H48" s="35">
        <f>SUMPRODUCT(($D$4:D47)*($A$4:A47&gt;=(A48-Parâmetros!$B$10)))*Parâmetros!$B$11</f>
        <v>61875.000000000007</v>
      </c>
      <c r="I48" s="11">
        <f t="shared" si="1"/>
        <v>61875.000000000007</v>
      </c>
      <c r="J48" s="35">
        <f>D48*Parâmetros!$B$4*Parâmetros!$B$13</f>
        <v>0</v>
      </c>
      <c r="K48" s="35">
        <f>Parâmetros!$B$6*Parâmetros!$B$14/48</f>
        <v>14062.5</v>
      </c>
      <c r="L48" s="35">
        <f>(E48+F48+J48+K48)*Parâmetros!$B$16</f>
        <v>769.36500000000001</v>
      </c>
      <c r="M48" s="36">
        <f t="shared" si="2"/>
        <v>26414.865000000002</v>
      </c>
      <c r="N48" s="11">
        <f t="shared" si="3"/>
        <v>35460.135000000009</v>
      </c>
      <c r="O48" s="35">
        <f>MAX(0,N48)*Parâmetros!$B$19</f>
        <v>12411.047250000003</v>
      </c>
      <c r="P48" s="11">
        <f t="shared" si="4"/>
        <v>23049.087750000006</v>
      </c>
      <c r="Q48" s="35">
        <f>I48*Parâmetros!$B$17</f>
        <v>4950.0000000000009</v>
      </c>
      <c r="R48" s="35">
        <f>MAX(0,-T47)*Parâmetros!$B$22</f>
        <v>0</v>
      </c>
      <c r="S48" s="11">
        <f t="shared" si="5"/>
        <v>18099.087750000006</v>
      </c>
      <c r="T48" s="11">
        <f t="shared" si="6"/>
        <v>3341489.8595904517</v>
      </c>
    </row>
    <row r="49" spans="1:20" ht="15" customHeight="1" x14ac:dyDescent="0.2">
      <c r="A49" s="37">
        <v>46</v>
      </c>
      <c r="B49" s="38">
        <f t="shared" si="0"/>
        <v>4</v>
      </c>
      <c r="C49" s="7" t="s">
        <v>111</v>
      </c>
      <c r="D49" s="38">
        <v>0</v>
      </c>
      <c r="E49" s="34">
        <v>8333</v>
      </c>
      <c r="F49" s="34">
        <v>3250</v>
      </c>
      <c r="G49" s="39">
        <f>D49*Parâmetros!$B$4*Parâmetros!$B$8</f>
        <v>0</v>
      </c>
      <c r="H49" s="39">
        <f>SUMPRODUCT(($D$4:D48)*($A$4:A48&gt;=(A49-Parâmetros!$B$10)))*Parâmetros!$B$11</f>
        <v>61875.000000000007</v>
      </c>
      <c r="I49" s="9">
        <f t="shared" si="1"/>
        <v>61875.000000000007</v>
      </c>
      <c r="J49" s="39">
        <f>D49*Parâmetros!$B$4*Parâmetros!$B$13</f>
        <v>0</v>
      </c>
      <c r="K49" s="39">
        <f>Parâmetros!$B$6*Parâmetros!$B$14/48</f>
        <v>14062.5</v>
      </c>
      <c r="L49" s="39">
        <f>(E49+F49+J49+K49)*Parâmetros!$B$16</f>
        <v>769.36500000000001</v>
      </c>
      <c r="M49" s="36">
        <f t="shared" si="2"/>
        <v>26414.865000000002</v>
      </c>
      <c r="N49" s="9">
        <f t="shared" si="3"/>
        <v>35460.135000000009</v>
      </c>
      <c r="O49" s="39">
        <f>MAX(0,N49)*Parâmetros!$B$19</f>
        <v>12411.047250000003</v>
      </c>
      <c r="P49" s="9">
        <f t="shared" si="4"/>
        <v>23049.087750000006</v>
      </c>
      <c r="Q49" s="39">
        <f>I49*Parâmetros!$B$17</f>
        <v>4950.0000000000009</v>
      </c>
      <c r="R49" s="39">
        <f>MAX(0,-T48)*Parâmetros!$B$22</f>
        <v>0</v>
      </c>
      <c r="S49" s="9">
        <f t="shared" si="5"/>
        <v>18099.087750000006</v>
      </c>
      <c r="T49" s="9">
        <f t="shared" si="6"/>
        <v>3359588.9473404516</v>
      </c>
    </row>
    <row r="50" spans="1:20" ht="15" customHeight="1" x14ac:dyDescent="0.2">
      <c r="A50" s="32">
        <v>47</v>
      </c>
      <c r="B50" s="33">
        <f t="shared" si="0"/>
        <v>4</v>
      </c>
      <c r="C50" s="4" t="s">
        <v>112</v>
      </c>
      <c r="D50" s="33">
        <v>0</v>
      </c>
      <c r="E50" s="34">
        <v>8333</v>
      </c>
      <c r="F50" s="34">
        <v>3250</v>
      </c>
      <c r="G50" s="35">
        <f>D50*Parâmetros!$B$4*Parâmetros!$B$8</f>
        <v>0</v>
      </c>
      <c r="H50" s="35">
        <f>SUMPRODUCT(($D$4:D49)*($A$4:A49&gt;=(A50-Parâmetros!$B$10)))*Parâmetros!$B$11</f>
        <v>61875.000000000007</v>
      </c>
      <c r="I50" s="11">
        <f t="shared" si="1"/>
        <v>61875.000000000007</v>
      </c>
      <c r="J50" s="35">
        <f>D50*Parâmetros!$B$4*Parâmetros!$B$13</f>
        <v>0</v>
      </c>
      <c r="K50" s="35">
        <f>Parâmetros!$B$6*Parâmetros!$B$14/48</f>
        <v>14062.5</v>
      </c>
      <c r="L50" s="35">
        <f>(E50+F50+J50+K50)*Parâmetros!$B$16</f>
        <v>769.36500000000001</v>
      </c>
      <c r="M50" s="36">
        <f t="shared" si="2"/>
        <v>26414.865000000002</v>
      </c>
      <c r="N50" s="11">
        <f t="shared" si="3"/>
        <v>35460.135000000009</v>
      </c>
      <c r="O50" s="35">
        <f>MAX(0,N50)*Parâmetros!$B$19</f>
        <v>12411.047250000003</v>
      </c>
      <c r="P50" s="11">
        <f t="shared" si="4"/>
        <v>23049.087750000006</v>
      </c>
      <c r="Q50" s="35">
        <f>I50*Parâmetros!$B$17</f>
        <v>4950.0000000000009</v>
      </c>
      <c r="R50" s="35">
        <f>MAX(0,-T49)*Parâmetros!$B$22</f>
        <v>0</v>
      </c>
      <c r="S50" s="11">
        <f t="shared" si="5"/>
        <v>18099.087750000006</v>
      </c>
      <c r="T50" s="11">
        <f t="shared" si="6"/>
        <v>3377688.0350904516</v>
      </c>
    </row>
    <row r="51" spans="1:20" ht="15" customHeight="1" x14ac:dyDescent="0.2">
      <c r="A51" s="37">
        <v>48</v>
      </c>
      <c r="B51" s="38">
        <f t="shared" si="0"/>
        <v>4</v>
      </c>
      <c r="C51" s="7" t="s">
        <v>113</v>
      </c>
      <c r="D51" s="38">
        <v>0</v>
      </c>
      <c r="E51" s="34">
        <v>8333</v>
      </c>
      <c r="F51" s="34">
        <v>3250</v>
      </c>
      <c r="G51" s="39">
        <f>D51*Parâmetros!$B$4*Parâmetros!$B$8</f>
        <v>0</v>
      </c>
      <c r="H51" s="39">
        <f>SUMPRODUCT(($D$4:D50)*($A$4:A50&gt;=(A51-Parâmetros!$B$10)))*Parâmetros!$B$11</f>
        <v>61875.000000000007</v>
      </c>
      <c r="I51" s="9">
        <f t="shared" si="1"/>
        <v>61875.000000000007</v>
      </c>
      <c r="J51" s="39">
        <f>D51*Parâmetros!$B$4*Parâmetros!$B$13</f>
        <v>0</v>
      </c>
      <c r="K51" s="39">
        <f>Parâmetros!$B$6*Parâmetros!$B$14/48</f>
        <v>14062.5</v>
      </c>
      <c r="L51" s="39">
        <f>(E51+F51+J51+K51)*Parâmetros!$B$16</f>
        <v>769.36500000000001</v>
      </c>
      <c r="M51" s="36">
        <f t="shared" si="2"/>
        <v>26414.865000000002</v>
      </c>
      <c r="N51" s="9">
        <f t="shared" si="3"/>
        <v>35460.135000000009</v>
      </c>
      <c r="O51" s="39">
        <f>MAX(0,N51)*Parâmetros!$B$19</f>
        <v>12411.047250000003</v>
      </c>
      <c r="P51" s="9">
        <f t="shared" si="4"/>
        <v>23049.087750000006</v>
      </c>
      <c r="Q51" s="39">
        <f>I51*Parâmetros!$B$17</f>
        <v>4950.0000000000009</v>
      </c>
      <c r="R51" s="39">
        <f>MAX(0,-T50)*Parâmetros!$B$22</f>
        <v>0</v>
      </c>
      <c r="S51" s="9">
        <f t="shared" si="5"/>
        <v>18099.087750000006</v>
      </c>
      <c r="T51" s="9">
        <f t="shared" si="6"/>
        <v>3395787.1228404515</v>
      </c>
    </row>
    <row r="52" spans="1:20" ht="18" customHeight="1" x14ac:dyDescent="0.2">
      <c r="A52" s="69" t="s">
        <v>114</v>
      </c>
      <c r="B52" s="55"/>
      <c r="C52" s="55"/>
      <c r="D52" s="42">
        <f t="shared" ref="D52:S52" si="7">SUM(D4:D51)</f>
        <v>330</v>
      </c>
      <c r="E52" s="43">
        <f t="shared" si="7"/>
        <v>5429992</v>
      </c>
      <c r="F52" s="43">
        <f t="shared" si="7"/>
        <v>528000</v>
      </c>
      <c r="G52" s="43">
        <f t="shared" si="7"/>
        <v>17325000</v>
      </c>
      <c r="H52" s="43">
        <f t="shared" si="7"/>
        <v>1721250.0000000002</v>
      </c>
      <c r="I52" s="43">
        <f t="shared" si="7"/>
        <v>19046250</v>
      </c>
      <c r="J52" s="43">
        <f t="shared" si="7"/>
        <v>1485000</v>
      </c>
      <c r="K52" s="43">
        <f t="shared" si="7"/>
        <v>675000</v>
      </c>
      <c r="L52" s="43">
        <f t="shared" si="7"/>
        <v>243539.75999999978</v>
      </c>
      <c r="M52" s="43">
        <f t="shared" si="7"/>
        <v>8361531.7600000054</v>
      </c>
      <c r="N52" s="43">
        <f t="shared" si="7"/>
        <v>10684718.239999995</v>
      </c>
      <c r="O52" s="43">
        <f t="shared" si="7"/>
        <v>4202668.5714999959</v>
      </c>
      <c r="P52" s="43">
        <f t="shared" si="7"/>
        <v>6482049.6684999987</v>
      </c>
      <c r="Q52" s="43">
        <f t="shared" si="7"/>
        <v>1523700</v>
      </c>
      <c r="R52" s="43">
        <f t="shared" si="7"/>
        <v>562562.54565954732</v>
      </c>
      <c r="S52" s="43">
        <f t="shared" si="7"/>
        <v>4395787.122840452</v>
      </c>
      <c r="T52" s="43">
        <f>T51</f>
        <v>3395787.1228404515</v>
      </c>
    </row>
  </sheetData>
  <mergeCells count="8">
    <mergeCell ref="A52:C52"/>
    <mergeCell ref="A1:T1"/>
    <mergeCell ref="D2:F2"/>
    <mergeCell ref="G2:I2"/>
    <mergeCell ref="N2:P2"/>
    <mergeCell ref="J2:M2"/>
    <mergeCell ref="Q2:T2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"/>
  <sheetViews>
    <sheetView zoomScale="140" zoomScaleNormal="140" workbookViewId="0">
      <pane xSplit="1" ySplit="3" topLeftCell="B4" activePane="bottomRight" state="frozen"/>
      <selection pane="topRight"/>
      <selection pane="bottomLeft"/>
      <selection pane="bottomRight" sqref="A1:P1"/>
    </sheetView>
  </sheetViews>
  <sheetFormatPr baseColWidth="10" defaultColWidth="8.83203125" defaultRowHeight="15" x14ac:dyDescent="0.2"/>
  <cols>
    <col min="1" max="1" width="12" customWidth="1"/>
    <col min="2" max="2" width="9" customWidth="1"/>
    <col min="3" max="6" width="14" customWidth="1"/>
    <col min="7" max="8" width="13" customWidth="1"/>
    <col min="9" max="9" width="12" customWidth="1"/>
    <col min="10" max="11" width="14" customWidth="1"/>
    <col min="12" max="12" width="13" customWidth="1"/>
    <col min="13" max="13" width="12" customWidth="1"/>
    <col min="14" max="14" width="13" customWidth="1"/>
    <col min="15" max="15" width="14" customWidth="1"/>
    <col min="16" max="16" width="15" customWidth="1"/>
  </cols>
  <sheetData>
    <row r="1" spans="1:16" ht="24" customHeight="1" x14ac:dyDescent="0.2">
      <c r="A1" s="64" t="s">
        <v>115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16" customHeight="1" x14ac:dyDescent="0.2">
      <c r="A2" s="71" t="str">
        <f>TEXT(SUMIF(Cronograma!$B$4:'Cronograma'!$B$51,1,Cronograma!$D$4:'Cronograma'!$D$51),"#,##0")&amp;" lotes vendidos  |  Receita: "&amp;TEXT(SUMIF(Cronograma!$B$4:'Cronograma'!$B$51,1,Cronograma!$I$4:'Cronograma'!$I$51),"R$ #,##0")&amp;"  |  Fluxo Líq.: "&amp;TEXT(SUMIF(Cronograma!$B$4:'Cronograma'!$B$51,1,Cronograma!$S$4:'Cronograma'!$S$51),"R$ #,##0")</f>
        <v>90,0 lotes vendidos  |  Receita: R$ 4781250,0  |  Fluxo Líq.: -R$ 978719,185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28" customHeight="1" x14ac:dyDescent="0.2">
      <c r="A3" s="28" t="s">
        <v>82</v>
      </c>
      <c r="B3" s="28" t="s">
        <v>116</v>
      </c>
      <c r="C3" s="30" t="s">
        <v>88</v>
      </c>
      <c r="D3" s="30" t="s">
        <v>89</v>
      </c>
      <c r="E3" s="30" t="s">
        <v>90</v>
      </c>
      <c r="F3" s="31" t="s">
        <v>117</v>
      </c>
      <c r="G3" s="31" t="s">
        <v>118</v>
      </c>
      <c r="H3" s="31" t="s">
        <v>119</v>
      </c>
      <c r="I3" s="31" t="s">
        <v>120</v>
      </c>
      <c r="J3" s="31" t="s">
        <v>94</v>
      </c>
      <c r="K3" s="28" t="s">
        <v>121</v>
      </c>
      <c r="L3" s="28" t="s">
        <v>122</v>
      </c>
      <c r="M3" s="29" t="s">
        <v>123</v>
      </c>
      <c r="N3" s="29" t="s">
        <v>124</v>
      </c>
      <c r="O3" s="29" t="s">
        <v>100</v>
      </c>
      <c r="P3" s="29" t="s">
        <v>125</v>
      </c>
    </row>
    <row r="4" spans="1:16" ht="15" customHeight="1" x14ac:dyDescent="0.2">
      <c r="A4" s="44" t="str">
        <f>Cronograma!C4</f>
        <v>Janeiro</v>
      </c>
      <c r="B4" s="45">
        <f>Cronograma!D4</f>
        <v>0</v>
      </c>
      <c r="C4" s="8">
        <f>Cronograma!G4</f>
        <v>0</v>
      </c>
      <c r="D4" s="8">
        <f>Cronograma!H4</f>
        <v>0</v>
      </c>
      <c r="E4" s="46">
        <f>Cronograma!I4</f>
        <v>0</v>
      </c>
      <c r="F4" s="8">
        <f>Cronograma!E4</f>
        <v>50000</v>
      </c>
      <c r="G4" s="8">
        <f>Cronograma!J4</f>
        <v>0</v>
      </c>
      <c r="H4" s="8">
        <f>Cronograma!F4+Cronograma!K4</f>
        <v>14062.5</v>
      </c>
      <c r="I4" s="8">
        <f>Cronograma!L4</f>
        <v>1921.875</v>
      </c>
      <c r="J4" s="47">
        <f>Cronograma!M4</f>
        <v>65984.375</v>
      </c>
      <c r="K4" s="47">
        <f>Cronograma!N4</f>
        <v>-65984.375</v>
      </c>
      <c r="L4" s="8">
        <f>Cronograma!O4</f>
        <v>0</v>
      </c>
      <c r="M4" s="8">
        <f>Cronograma!Q4</f>
        <v>0</v>
      </c>
      <c r="N4" s="8">
        <f>Cronograma!R4</f>
        <v>15000</v>
      </c>
      <c r="O4" s="47">
        <f>Cronograma!S4</f>
        <v>-80984.375</v>
      </c>
      <c r="P4" s="47">
        <f>Cronograma!T4</f>
        <v>-1080984.375</v>
      </c>
    </row>
    <row r="5" spans="1:16" ht="15" customHeight="1" x14ac:dyDescent="0.2">
      <c r="A5" s="48" t="str">
        <f>Cronograma!C5</f>
        <v>Fevereiro</v>
      </c>
      <c r="B5" s="49">
        <f>Cronograma!D5</f>
        <v>0</v>
      </c>
      <c r="C5" s="10">
        <f>Cronograma!G5</f>
        <v>0</v>
      </c>
      <c r="D5" s="10">
        <f>Cronograma!H5</f>
        <v>0</v>
      </c>
      <c r="E5" s="46">
        <f>Cronograma!I5</f>
        <v>0</v>
      </c>
      <c r="F5" s="10">
        <f>Cronograma!E5</f>
        <v>100000</v>
      </c>
      <c r="G5" s="10">
        <f>Cronograma!J5</f>
        <v>0</v>
      </c>
      <c r="H5" s="10">
        <f>Cronograma!F5+Cronograma!K5</f>
        <v>14062.5</v>
      </c>
      <c r="I5" s="10">
        <f>Cronograma!L5</f>
        <v>3421.875</v>
      </c>
      <c r="J5" s="50">
        <f>Cronograma!M5</f>
        <v>117484.375</v>
      </c>
      <c r="K5" s="50">
        <f>Cronograma!N5</f>
        <v>-117484.375</v>
      </c>
      <c r="L5" s="10">
        <f>Cronograma!O5</f>
        <v>0</v>
      </c>
      <c r="M5" s="10">
        <f>Cronograma!Q5</f>
        <v>0</v>
      </c>
      <c r="N5" s="10">
        <f>Cronograma!R5</f>
        <v>16214.765625</v>
      </c>
      <c r="O5" s="50">
        <f>Cronograma!S5</f>
        <v>-133699.140625</v>
      </c>
      <c r="P5" s="50">
        <f>Cronograma!T5</f>
        <v>-1214683.515625</v>
      </c>
    </row>
    <row r="6" spans="1:16" ht="15" customHeight="1" x14ac:dyDescent="0.2">
      <c r="A6" s="44" t="str">
        <f>Cronograma!C6</f>
        <v>Março</v>
      </c>
      <c r="B6" s="45">
        <f>Cronograma!D6</f>
        <v>0</v>
      </c>
      <c r="C6" s="8">
        <f>Cronograma!G6</f>
        <v>0</v>
      </c>
      <c r="D6" s="8">
        <f>Cronograma!H6</f>
        <v>0</v>
      </c>
      <c r="E6" s="46">
        <f>Cronograma!I6</f>
        <v>0</v>
      </c>
      <c r="F6" s="8">
        <f>Cronograma!E6</f>
        <v>100000</v>
      </c>
      <c r="G6" s="8">
        <f>Cronograma!J6</f>
        <v>0</v>
      </c>
      <c r="H6" s="8">
        <f>Cronograma!F6+Cronograma!K6</f>
        <v>14062.5</v>
      </c>
      <c r="I6" s="8">
        <f>Cronograma!L6</f>
        <v>3421.875</v>
      </c>
      <c r="J6" s="47">
        <f>Cronograma!M6</f>
        <v>117484.375</v>
      </c>
      <c r="K6" s="47">
        <f>Cronograma!N6</f>
        <v>-117484.375</v>
      </c>
      <c r="L6" s="8">
        <f>Cronograma!O6</f>
        <v>0</v>
      </c>
      <c r="M6" s="8">
        <f>Cronograma!Q6</f>
        <v>0</v>
      </c>
      <c r="N6" s="8">
        <f>Cronograma!R6</f>
        <v>18220.252734375001</v>
      </c>
      <c r="O6" s="47">
        <f>Cronograma!S6</f>
        <v>-135704.62773437501</v>
      </c>
      <c r="P6" s="47">
        <f>Cronograma!T6</f>
        <v>-1350388.143359375</v>
      </c>
    </row>
    <row r="7" spans="1:16" ht="15" customHeight="1" x14ac:dyDescent="0.2">
      <c r="A7" s="48" t="str">
        <f>Cronograma!C7</f>
        <v>Abril</v>
      </c>
      <c r="B7" s="49">
        <f>Cronograma!D7</f>
        <v>0</v>
      </c>
      <c r="C7" s="10">
        <f>Cronograma!G7</f>
        <v>0</v>
      </c>
      <c r="D7" s="10">
        <f>Cronograma!H7</f>
        <v>0</v>
      </c>
      <c r="E7" s="46">
        <f>Cronograma!I7</f>
        <v>0</v>
      </c>
      <c r="F7" s="10">
        <f>Cronograma!E7</f>
        <v>200000</v>
      </c>
      <c r="G7" s="10">
        <f>Cronograma!J7</f>
        <v>0</v>
      </c>
      <c r="H7" s="10">
        <f>Cronograma!F7+Cronograma!K7</f>
        <v>14062.5</v>
      </c>
      <c r="I7" s="10">
        <f>Cronograma!L7</f>
        <v>6421.875</v>
      </c>
      <c r="J7" s="50">
        <f>Cronograma!M7</f>
        <v>220484.375</v>
      </c>
      <c r="K7" s="50">
        <f>Cronograma!N7</f>
        <v>-220484.375</v>
      </c>
      <c r="L7" s="10">
        <f>Cronograma!O7</f>
        <v>0</v>
      </c>
      <c r="M7" s="10">
        <f>Cronograma!Q7</f>
        <v>0</v>
      </c>
      <c r="N7" s="10">
        <f>Cronograma!R7</f>
        <v>20255.822150390624</v>
      </c>
      <c r="O7" s="50">
        <f>Cronograma!S7</f>
        <v>-240740.19715039062</v>
      </c>
      <c r="P7" s="50">
        <f>Cronograma!T7</f>
        <v>-1591128.3405097655</v>
      </c>
    </row>
    <row r="8" spans="1:16" ht="15" customHeight="1" x14ac:dyDescent="0.2">
      <c r="A8" s="44" t="str">
        <f>Cronograma!C8</f>
        <v>Maio</v>
      </c>
      <c r="B8" s="45">
        <f>Cronograma!D8</f>
        <v>0</v>
      </c>
      <c r="C8" s="8">
        <f>Cronograma!G8</f>
        <v>0</v>
      </c>
      <c r="D8" s="8">
        <f>Cronograma!H8</f>
        <v>0</v>
      </c>
      <c r="E8" s="46">
        <f>Cronograma!I8</f>
        <v>0</v>
      </c>
      <c r="F8" s="8">
        <f>Cronograma!E8</f>
        <v>300000</v>
      </c>
      <c r="G8" s="8">
        <f>Cronograma!J8</f>
        <v>0</v>
      </c>
      <c r="H8" s="8">
        <f>Cronograma!F8+Cronograma!K8</f>
        <v>64062.5</v>
      </c>
      <c r="I8" s="8">
        <f>Cronograma!L8</f>
        <v>10921.875</v>
      </c>
      <c r="J8" s="47">
        <f>Cronograma!M8</f>
        <v>374984.375</v>
      </c>
      <c r="K8" s="47">
        <f>Cronograma!N8</f>
        <v>-374984.375</v>
      </c>
      <c r="L8" s="8">
        <f>Cronograma!O8</f>
        <v>0</v>
      </c>
      <c r="M8" s="8">
        <f>Cronograma!Q8</f>
        <v>0</v>
      </c>
      <c r="N8" s="8">
        <f>Cronograma!R8</f>
        <v>23866.925107646483</v>
      </c>
      <c r="O8" s="47">
        <f>Cronograma!S8</f>
        <v>-398851.3001076465</v>
      </c>
      <c r="P8" s="47">
        <f>Cronograma!T8</f>
        <v>-1989979.640617412</v>
      </c>
    </row>
    <row r="9" spans="1:16" ht="15" customHeight="1" x14ac:dyDescent="0.2">
      <c r="A9" s="48" t="str">
        <f>Cronograma!C9</f>
        <v>Junho</v>
      </c>
      <c r="B9" s="49">
        <f>Cronograma!D9</f>
        <v>0</v>
      </c>
      <c r="C9" s="10">
        <f>Cronograma!G9</f>
        <v>0</v>
      </c>
      <c r="D9" s="10">
        <f>Cronograma!H9</f>
        <v>0</v>
      </c>
      <c r="E9" s="46">
        <f>Cronograma!I9</f>
        <v>0</v>
      </c>
      <c r="F9" s="10">
        <f>Cronograma!E9</f>
        <v>300000</v>
      </c>
      <c r="G9" s="10">
        <f>Cronograma!J9</f>
        <v>0</v>
      </c>
      <c r="H9" s="10">
        <f>Cronograma!F9+Cronograma!K9</f>
        <v>114062.5</v>
      </c>
      <c r="I9" s="10">
        <f>Cronograma!L9</f>
        <v>12421.875</v>
      </c>
      <c r="J9" s="50">
        <f>Cronograma!M9</f>
        <v>426484.375</v>
      </c>
      <c r="K9" s="50">
        <f>Cronograma!N9</f>
        <v>-426484.375</v>
      </c>
      <c r="L9" s="10">
        <f>Cronograma!O9</f>
        <v>0</v>
      </c>
      <c r="M9" s="10">
        <f>Cronograma!Q9</f>
        <v>0</v>
      </c>
      <c r="N9" s="10">
        <f>Cronograma!R9</f>
        <v>29849.69460926118</v>
      </c>
      <c r="O9" s="50">
        <f>Cronograma!S9</f>
        <v>-456334.06960926118</v>
      </c>
      <c r="P9" s="50">
        <f>Cronograma!T9</f>
        <v>-2446313.7102266732</v>
      </c>
    </row>
    <row r="10" spans="1:16" ht="15" customHeight="1" x14ac:dyDescent="0.2">
      <c r="A10" s="44" t="str">
        <f>Cronograma!C10</f>
        <v>Julho</v>
      </c>
      <c r="B10" s="45">
        <f>Cronograma!D10</f>
        <v>40</v>
      </c>
      <c r="C10" s="8">
        <f>Cronograma!G10</f>
        <v>2100000</v>
      </c>
      <c r="D10" s="8">
        <f>Cronograma!H10</f>
        <v>0</v>
      </c>
      <c r="E10" s="46">
        <f>Cronograma!I10</f>
        <v>2100000</v>
      </c>
      <c r="F10" s="8">
        <f>Cronograma!E10</f>
        <v>400000</v>
      </c>
      <c r="G10" s="8">
        <f>Cronograma!J10</f>
        <v>180000</v>
      </c>
      <c r="H10" s="8">
        <f>Cronograma!F10+Cronograma!K10</f>
        <v>114062.5</v>
      </c>
      <c r="I10" s="8">
        <f>Cronograma!L10</f>
        <v>20821.875</v>
      </c>
      <c r="J10" s="47">
        <f>Cronograma!M10</f>
        <v>714884.375</v>
      </c>
      <c r="K10" s="47">
        <f>Cronograma!N10</f>
        <v>1385115.625</v>
      </c>
      <c r="L10" s="8">
        <f>Cronograma!O10</f>
        <v>484790.46874999994</v>
      </c>
      <c r="M10" s="8">
        <f>Cronograma!Q10</f>
        <v>168000</v>
      </c>
      <c r="N10" s="8">
        <f>Cronograma!R10</f>
        <v>36694.705653400095</v>
      </c>
      <c r="O10" s="47">
        <f>Cronograma!S10</f>
        <v>695630.45059659996</v>
      </c>
      <c r="P10" s="47">
        <f>Cronograma!T10</f>
        <v>-1750683.2596300733</v>
      </c>
    </row>
    <row r="11" spans="1:16" ht="15" customHeight="1" x14ac:dyDescent="0.2">
      <c r="A11" s="48" t="str">
        <f>Cronograma!C11</f>
        <v>Agosto</v>
      </c>
      <c r="B11" s="49">
        <f>Cronograma!D11</f>
        <v>10</v>
      </c>
      <c r="C11" s="10">
        <f>Cronograma!G11</f>
        <v>525000</v>
      </c>
      <c r="D11" s="10">
        <f>Cronograma!H11</f>
        <v>7500.0000000000009</v>
      </c>
      <c r="E11" s="46">
        <f>Cronograma!I11</f>
        <v>532500</v>
      </c>
      <c r="F11" s="10">
        <f>Cronograma!E11</f>
        <v>400000</v>
      </c>
      <c r="G11" s="10">
        <f>Cronograma!J11</f>
        <v>45000</v>
      </c>
      <c r="H11" s="10">
        <f>Cronograma!F11+Cronograma!K11</f>
        <v>64062.5</v>
      </c>
      <c r="I11" s="10">
        <f>Cronograma!L11</f>
        <v>15271.875</v>
      </c>
      <c r="J11" s="50">
        <f>Cronograma!M11</f>
        <v>524334.375</v>
      </c>
      <c r="K11" s="50">
        <f>Cronograma!N11</f>
        <v>8165.625</v>
      </c>
      <c r="L11" s="10">
        <f>Cronograma!O11</f>
        <v>2857.96875</v>
      </c>
      <c r="M11" s="10">
        <f>Cronograma!Q11</f>
        <v>42600</v>
      </c>
      <c r="N11" s="10">
        <f>Cronograma!R11</f>
        <v>26260.248894451099</v>
      </c>
      <c r="O11" s="50">
        <f>Cronograma!S11</f>
        <v>-63552.592644451099</v>
      </c>
      <c r="P11" s="50">
        <f>Cronograma!T11</f>
        <v>-1814235.8522745245</v>
      </c>
    </row>
    <row r="12" spans="1:16" ht="15" customHeight="1" x14ac:dyDescent="0.2">
      <c r="A12" s="44" t="str">
        <f>Cronograma!C12</f>
        <v>Setembro</v>
      </c>
      <c r="B12" s="45">
        <f>Cronograma!D12</f>
        <v>10</v>
      </c>
      <c r="C12" s="8">
        <f>Cronograma!G12</f>
        <v>525000</v>
      </c>
      <c r="D12" s="8">
        <f>Cronograma!H12</f>
        <v>9375.0000000000018</v>
      </c>
      <c r="E12" s="46">
        <f>Cronograma!I12</f>
        <v>534375</v>
      </c>
      <c r="F12" s="8">
        <f>Cronograma!E12</f>
        <v>400000</v>
      </c>
      <c r="G12" s="8">
        <f>Cronograma!J12</f>
        <v>45000</v>
      </c>
      <c r="H12" s="8">
        <f>Cronograma!F12+Cronograma!K12</f>
        <v>44062.5</v>
      </c>
      <c r="I12" s="8">
        <f>Cronograma!L12</f>
        <v>14671.875</v>
      </c>
      <c r="J12" s="47">
        <f>Cronograma!M12</f>
        <v>503734.375</v>
      </c>
      <c r="K12" s="47">
        <f>Cronograma!N12</f>
        <v>30640.625</v>
      </c>
      <c r="L12" s="8">
        <f>Cronograma!O12</f>
        <v>10724.21875</v>
      </c>
      <c r="M12" s="8">
        <f>Cronograma!Q12</f>
        <v>42750</v>
      </c>
      <c r="N12" s="8">
        <f>Cronograma!R12</f>
        <v>27213.537784117867</v>
      </c>
      <c r="O12" s="47">
        <f>Cronograma!S12</f>
        <v>-50047.131534117871</v>
      </c>
      <c r="P12" s="47">
        <f>Cronograma!T12</f>
        <v>-1864282.9838086425</v>
      </c>
    </row>
    <row r="13" spans="1:16" ht="15" customHeight="1" x14ac:dyDescent="0.2">
      <c r="A13" s="48" t="str">
        <f>Cronograma!C13</f>
        <v>Outubro</v>
      </c>
      <c r="B13" s="49">
        <f>Cronograma!D13</f>
        <v>10</v>
      </c>
      <c r="C13" s="10">
        <f>Cronograma!G13</f>
        <v>525000</v>
      </c>
      <c r="D13" s="10">
        <f>Cronograma!H13</f>
        <v>11250.000000000002</v>
      </c>
      <c r="E13" s="46">
        <f>Cronograma!I13</f>
        <v>536250</v>
      </c>
      <c r="F13" s="10">
        <f>Cronograma!E13</f>
        <v>400000</v>
      </c>
      <c r="G13" s="10">
        <f>Cronograma!J13</f>
        <v>45000</v>
      </c>
      <c r="H13" s="10">
        <f>Cronograma!F13+Cronograma!K13</f>
        <v>34062.5</v>
      </c>
      <c r="I13" s="10">
        <f>Cronograma!L13</f>
        <v>14371.875</v>
      </c>
      <c r="J13" s="50">
        <f>Cronograma!M13</f>
        <v>493434.375</v>
      </c>
      <c r="K13" s="50">
        <f>Cronograma!N13</f>
        <v>42815.625</v>
      </c>
      <c r="L13" s="10">
        <f>Cronograma!O13</f>
        <v>14985.468749999998</v>
      </c>
      <c r="M13" s="10">
        <f>Cronograma!Q13</f>
        <v>42900</v>
      </c>
      <c r="N13" s="10">
        <f>Cronograma!R13</f>
        <v>27964.244757129636</v>
      </c>
      <c r="O13" s="50">
        <f>Cronograma!S13</f>
        <v>-43034.088507129636</v>
      </c>
      <c r="P13" s="50">
        <f>Cronograma!T13</f>
        <v>-1907317.0723157721</v>
      </c>
    </row>
    <row r="14" spans="1:16" ht="15" customHeight="1" x14ac:dyDescent="0.2">
      <c r="A14" s="44" t="str">
        <f>Cronograma!C14</f>
        <v>Novembro</v>
      </c>
      <c r="B14" s="45">
        <f>Cronograma!D14</f>
        <v>10</v>
      </c>
      <c r="C14" s="8">
        <f>Cronograma!G14</f>
        <v>525000</v>
      </c>
      <c r="D14" s="8">
        <f>Cronograma!H14</f>
        <v>13125.000000000002</v>
      </c>
      <c r="E14" s="46">
        <f>Cronograma!I14</f>
        <v>538125</v>
      </c>
      <c r="F14" s="8">
        <f>Cronograma!E14</f>
        <v>400000</v>
      </c>
      <c r="G14" s="8">
        <f>Cronograma!J14</f>
        <v>45000</v>
      </c>
      <c r="H14" s="8">
        <f>Cronograma!F14+Cronograma!K14</f>
        <v>34062.5</v>
      </c>
      <c r="I14" s="8">
        <f>Cronograma!L14</f>
        <v>14371.875</v>
      </c>
      <c r="J14" s="47">
        <f>Cronograma!M14</f>
        <v>493434.375</v>
      </c>
      <c r="K14" s="47">
        <f>Cronograma!N14</f>
        <v>44690.625</v>
      </c>
      <c r="L14" s="8">
        <f>Cronograma!O14</f>
        <v>15641.718749999998</v>
      </c>
      <c r="M14" s="8">
        <f>Cronograma!Q14</f>
        <v>43050</v>
      </c>
      <c r="N14" s="8">
        <f>Cronograma!R14</f>
        <v>28609.756084736578</v>
      </c>
      <c r="O14" s="47">
        <f>Cronograma!S14</f>
        <v>-42610.849834736582</v>
      </c>
      <c r="P14" s="47">
        <f>Cronograma!T14</f>
        <v>-1949927.9221505087</v>
      </c>
    </row>
    <row r="15" spans="1:16" ht="15" customHeight="1" x14ac:dyDescent="0.2">
      <c r="A15" s="48" t="str">
        <f>Cronograma!C15</f>
        <v>Dezembro</v>
      </c>
      <c r="B15" s="49">
        <f>Cronograma!D15</f>
        <v>10</v>
      </c>
      <c r="C15" s="10">
        <f>Cronograma!G15</f>
        <v>525000</v>
      </c>
      <c r="D15" s="10">
        <f>Cronograma!H15</f>
        <v>15000.000000000002</v>
      </c>
      <c r="E15" s="46">
        <f>Cronograma!I15</f>
        <v>540000</v>
      </c>
      <c r="F15" s="10">
        <f>Cronograma!E15</f>
        <v>380000</v>
      </c>
      <c r="G15" s="10">
        <f>Cronograma!J15</f>
        <v>45000</v>
      </c>
      <c r="H15" s="10">
        <f>Cronograma!F15+Cronograma!K15</f>
        <v>34062.5</v>
      </c>
      <c r="I15" s="10">
        <f>Cronograma!L15</f>
        <v>13771.875</v>
      </c>
      <c r="J15" s="50">
        <f>Cronograma!M15</f>
        <v>472834.375</v>
      </c>
      <c r="K15" s="50">
        <f>Cronograma!N15</f>
        <v>67165.625</v>
      </c>
      <c r="L15" s="10">
        <f>Cronograma!O15</f>
        <v>23507.96875</v>
      </c>
      <c r="M15" s="10">
        <f>Cronograma!Q15</f>
        <v>43200</v>
      </c>
      <c r="N15" s="10">
        <f>Cronograma!R15</f>
        <v>29248.91883225763</v>
      </c>
      <c r="O15" s="50">
        <f>Cronograma!S15</f>
        <v>-28791.26258225763</v>
      </c>
      <c r="P15" s="50">
        <f>Cronograma!T15</f>
        <v>-1978719.1847327664</v>
      </c>
    </row>
    <row r="16" spans="1:16" ht="18" customHeight="1" x14ac:dyDescent="0.2">
      <c r="A16" s="51" t="s">
        <v>126</v>
      </c>
      <c r="B16" s="52">
        <f t="shared" ref="B16:O16" si="0">SUM(B4:B15)</f>
        <v>90</v>
      </c>
      <c r="C16" s="53">
        <f t="shared" si="0"/>
        <v>4725000</v>
      </c>
      <c r="D16" s="53">
        <f t="shared" si="0"/>
        <v>56250.000000000007</v>
      </c>
      <c r="E16" s="53">
        <f t="shared" si="0"/>
        <v>4781250</v>
      </c>
      <c r="F16" s="53">
        <f t="shared" si="0"/>
        <v>3430000</v>
      </c>
      <c r="G16" s="53">
        <f t="shared" si="0"/>
        <v>405000</v>
      </c>
      <c r="H16" s="53">
        <f t="shared" si="0"/>
        <v>558750</v>
      </c>
      <c r="I16" s="53">
        <f t="shared" si="0"/>
        <v>131812.5</v>
      </c>
      <c r="J16" s="53">
        <f t="shared" si="0"/>
        <v>4525562.5</v>
      </c>
      <c r="K16" s="53">
        <f t="shared" si="0"/>
        <v>255687.5</v>
      </c>
      <c r="L16" s="53">
        <f t="shared" si="0"/>
        <v>552507.81249999988</v>
      </c>
      <c r="M16" s="53">
        <f t="shared" si="0"/>
        <v>382500</v>
      </c>
      <c r="N16" s="53">
        <f t="shared" si="0"/>
        <v>299398.87223276618</v>
      </c>
      <c r="O16" s="53">
        <f t="shared" si="0"/>
        <v>-978719.18473276624</v>
      </c>
      <c r="P16" s="53">
        <f>Cronograma!T15</f>
        <v>-1978719.1847327664</v>
      </c>
    </row>
    <row r="18" spans="1:16" ht="22" customHeight="1" x14ac:dyDescent="0.2">
      <c r="A18" s="70" t="s">
        <v>127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</sheetData>
  <mergeCells count="3">
    <mergeCell ref="A1:P1"/>
    <mergeCell ref="A18:P18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"/>
  <sheetViews>
    <sheetView zoomScale="140" zoomScaleNormal="140" workbookViewId="0">
      <pane xSplit="1" ySplit="3" topLeftCell="B4" activePane="bottomRight" state="frozen"/>
      <selection pane="topRight"/>
      <selection pane="bottomLeft"/>
      <selection pane="bottomRight" sqref="A1:P1"/>
    </sheetView>
  </sheetViews>
  <sheetFormatPr baseColWidth="10" defaultColWidth="8.83203125" defaultRowHeight="15" x14ac:dyDescent="0.2"/>
  <cols>
    <col min="1" max="1" width="12" customWidth="1"/>
    <col min="2" max="2" width="9" customWidth="1"/>
    <col min="3" max="6" width="14" customWidth="1"/>
    <col min="7" max="8" width="13" customWidth="1"/>
    <col min="9" max="9" width="12" customWidth="1"/>
    <col min="10" max="11" width="14" customWidth="1"/>
    <col min="12" max="12" width="13" customWidth="1"/>
    <col min="13" max="13" width="12" customWidth="1"/>
    <col min="14" max="14" width="13" customWidth="1"/>
    <col min="15" max="15" width="14" customWidth="1"/>
    <col min="16" max="16" width="15" customWidth="1"/>
  </cols>
  <sheetData>
    <row r="1" spans="1:16" ht="24" customHeight="1" x14ac:dyDescent="0.2">
      <c r="A1" s="64" t="s">
        <v>128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16" customHeight="1" x14ac:dyDescent="0.2">
      <c r="A2" s="71" t="str">
        <f>TEXT(SUMIF(Cronograma!$B$4:'Cronograma'!$B$51,2,Cronograma!$D$4:'Cronograma'!$D$51),"#,##0")&amp;" lotes vendidos  |  Receita: "&amp;TEXT(SUMIF(Cronograma!$B$4:'Cronograma'!$B$51,2,Cronograma!$I$4:'Cronograma'!$I$51),"R$ #,##0")&amp;"  |  Fluxo Líq.: "&amp;TEXT(SUMIF(Cronograma!$B$4:'Cronograma'!$B$51,2,Cronograma!$S$4:'Cronograma'!$S$51),"R$ #,##0")</f>
        <v>120,0 lotes vendidos  |  Receita: R$ 6626250,0  |  Fluxo Líq.: R$ 1796750,236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28" customHeight="1" x14ac:dyDescent="0.2">
      <c r="A3" s="28" t="s">
        <v>82</v>
      </c>
      <c r="B3" s="28" t="s">
        <v>116</v>
      </c>
      <c r="C3" s="30" t="s">
        <v>88</v>
      </c>
      <c r="D3" s="30" t="s">
        <v>89</v>
      </c>
      <c r="E3" s="30" t="s">
        <v>90</v>
      </c>
      <c r="F3" s="31" t="s">
        <v>117</v>
      </c>
      <c r="G3" s="31" t="s">
        <v>118</v>
      </c>
      <c r="H3" s="31" t="s">
        <v>119</v>
      </c>
      <c r="I3" s="31" t="s">
        <v>120</v>
      </c>
      <c r="J3" s="31" t="s">
        <v>94</v>
      </c>
      <c r="K3" s="28" t="s">
        <v>121</v>
      </c>
      <c r="L3" s="28" t="s">
        <v>122</v>
      </c>
      <c r="M3" s="29" t="s">
        <v>123</v>
      </c>
      <c r="N3" s="29" t="s">
        <v>124</v>
      </c>
      <c r="O3" s="29" t="s">
        <v>100</v>
      </c>
      <c r="P3" s="29" t="s">
        <v>125</v>
      </c>
    </row>
    <row r="4" spans="1:16" ht="15" customHeight="1" x14ac:dyDescent="0.2">
      <c r="A4" s="44" t="str">
        <f>Cronograma!C16</f>
        <v>Janeiro</v>
      </c>
      <c r="B4" s="45">
        <f>Cronograma!D16</f>
        <v>10</v>
      </c>
      <c r="C4" s="8">
        <f>Cronograma!G16</f>
        <v>525000</v>
      </c>
      <c r="D4" s="8">
        <f>Cronograma!H16</f>
        <v>16875.000000000004</v>
      </c>
      <c r="E4" s="46">
        <f>Cronograma!I16</f>
        <v>541875</v>
      </c>
      <c r="F4" s="8">
        <f>Cronograma!E16</f>
        <v>350000</v>
      </c>
      <c r="G4" s="8">
        <f>Cronograma!J16</f>
        <v>45000</v>
      </c>
      <c r="H4" s="8">
        <f>Cronograma!F16+Cronograma!K16</f>
        <v>19062.5</v>
      </c>
      <c r="I4" s="8">
        <f>Cronograma!L16</f>
        <v>12421.875</v>
      </c>
      <c r="J4" s="47">
        <f>Cronograma!M16</f>
        <v>426484.375</v>
      </c>
      <c r="K4" s="47">
        <f>Cronograma!N16</f>
        <v>115390.625</v>
      </c>
      <c r="L4" s="8">
        <f>Cronograma!O16</f>
        <v>40386.71875</v>
      </c>
      <c r="M4" s="8">
        <f>Cronograma!Q16</f>
        <v>43350</v>
      </c>
      <c r="N4" s="8">
        <f>Cronograma!R16</f>
        <v>29680.787770991494</v>
      </c>
      <c r="O4" s="47">
        <f>Cronograma!S16</f>
        <v>1973.1184790085063</v>
      </c>
      <c r="P4" s="47">
        <f>Cronograma!T16</f>
        <v>-1976746.0662537578</v>
      </c>
    </row>
    <row r="5" spans="1:16" ht="15" customHeight="1" x14ac:dyDescent="0.2">
      <c r="A5" s="48" t="str">
        <f>Cronograma!C17</f>
        <v>Fevereiro</v>
      </c>
      <c r="B5" s="49">
        <f>Cronograma!D17</f>
        <v>10</v>
      </c>
      <c r="C5" s="10">
        <f>Cronograma!G17</f>
        <v>525000</v>
      </c>
      <c r="D5" s="10">
        <f>Cronograma!H17</f>
        <v>18750.000000000004</v>
      </c>
      <c r="E5" s="46">
        <f>Cronograma!I17</f>
        <v>543750</v>
      </c>
      <c r="F5" s="10">
        <f>Cronograma!E17</f>
        <v>350000</v>
      </c>
      <c r="G5" s="10">
        <f>Cronograma!J17</f>
        <v>45000</v>
      </c>
      <c r="H5" s="10">
        <f>Cronograma!F17+Cronograma!K17</f>
        <v>19062.5</v>
      </c>
      <c r="I5" s="10">
        <f>Cronograma!L17</f>
        <v>12421.875</v>
      </c>
      <c r="J5" s="50">
        <f>Cronograma!M17</f>
        <v>426484.375</v>
      </c>
      <c r="K5" s="50">
        <f>Cronograma!N17</f>
        <v>117265.625</v>
      </c>
      <c r="L5" s="10">
        <f>Cronograma!O17</f>
        <v>41042.96875</v>
      </c>
      <c r="M5" s="10">
        <f>Cronograma!Q17</f>
        <v>43500</v>
      </c>
      <c r="N5" s="10">
        <f>Cronograma!R17</f>
        <v>29651.190993806365</v>
      </c>
      <c r="O5" s="50">
        <f>Cronograma!S17</f>
        <v>3071.4652561936346</v>
      </c>
      <c r="P5" s="50">
        <f>Cronograma!T17</f>
        <v>-1973674.6009975642</v>
      </c>
    </row>
    <row r="6" spans="1:16" ht="15" customHeight="1" x14ac:dyDescent="0.2">
      <c r="A6" s="44" t="str">
        <f>Cronograma!C18</f>
        <v>Março</v>
      </c>
      <c r="B6" s="45">
        <f>Cronograma!D18</f>
        <v>10</v>
      </c>
      <c r="C6" s="8">
        <f>Cronograma!G18</f>
        <v>525000</v>
      </c>
      <c r="D6" s="8">
        <f>Cronograma!H18</f>
        <v>20625.000000000004</v>
      </c>
      <c r="E6" s="46">
        <f>Cronograma!I18</f>
        <v>545625</v>
      </c>
      <c r="F6" s="8">
        <f>Cronograma!E18</f>
        <v>300000</v>
      </c>
      <c r="G6" s="8">
        <f>Cronograma!J18</f>
        <v>45000</v>
      </c>
      <c r="H6" s="8">
        <f>Cronograma!F18+Cronograma!K18</f>
        <v>19062.5</v>
      </c>
      <c r="I6" s="8">
        <f>Cronograma!L18</f>
        <v>10921.875</v>
      </c>
      <c r="J6" s="47">
        <f>Cronograma!M18</f>
        <v>374984.375</v>
      </c>
      <c r="K6" s="47">
        <f>Cronograma!N18</f>
        <v>170640.625</v>
      </c>
      <c r="L6" s="8">
        <f>Cronograma!O18</f>
        <v>59724.218749999993</v>
      </c>
      <c r="M6" s="8">
        <f>Cronograma!Q18</f>
        <v>43650</v>
      </c>
      <c r="N6" s="8">
        <f>Cronograma!R18</f>
        <v>29605.11901496346</v>
      </c>
      <c r="O6" s="47">
        <f>Cronograma!S18</f>
        <v>37661.287235036536</v>
      </c>
      <c r="P6" s="47">
        <f>Cronograma!T18</f>
        <v>-1936013.3137625277</v>
      </c>
    </row>
    <row r="7" spans="1:16" ht="15" customHeight="1" x14ac:dyDescent="0.2">
      <c r="A7" s="48" t="str">
        <f>Cronograma!C19</f>
        <v>Abril</v>
      </c>
      <c r="B7" s="49">
        <f>Cronograma!D19</f>
        <v>10</v>
      </c>
      <c r="C7" s="10">
        <f>Cronograma!G19</f>
        <v>525000</v>
      </c>
      <c r="D7" s="10">
        <f>Cronograma!H19</f>
        <v>22500.000000000004</v>
      </c>
      <c r="E7" s="46">
        <f>Cronograma!I19</f>
        <v>547500</v>
      </c>
      <c r="F7" s="10">
        <f>Cronograma!E19</f>
        <v>200000</v>
      </c>
      <c r="G7" s="10">
        <f>Cronograma!J19</f>
        <v>45000</v>
      </c>
      <c r="H7" s="10">
        <f>Cronograma!F19+Cronograma!K19</f>
        <v>19062.5</v>
      </c>
      <c r="I7" s="10">
        <f>Cronograma!L19</f>
        <v>7921.875</v>
      </c>
      <c r="J7" s="50">
        <f>Cronograma!M19</f>
        <v>271984.375</v>
      </c>
      <c r="K7" s="50">
        <f>Cronograma!N19</f>
        <v>275515.625</v>
      </c>
      <c r="L7" s="10">
        <f>Cronograma!O19</f>
        <v>96430.46875</v>
      </c>
      <c r="M7" s="10">
        <f>Cronograma!Q19</f>
        <v>43800</v>
      </c>
      <c r="N7" s="10">
        <f>Cronograma!R19</f>
        <v>29040.199706437914</v>
      </c>
      <c r="O7" s="50">
        <f>Cronograma!S19</f>
        <v>106244.95654356209</v>
      </c>
      <c r="P7" s="50">
        <f>Cronograma!T19</f>
        <v>-1829768.3572189657</v>
      </c>
    </row>
    <row r="8" spans="1:16" ht="15" customHeight="1" x14ac:dyDescent="0.2">
      <c r="A8" s="44" t="str">
        <f>Cronograma!C20</f>
        <v>Maio</v>
      </c>
      <c r="B8" s="45">
        <f>Cronograma!D20</f>
        <v>10</v>
      </c>
      <c r="C8" s="8">
        <f>Cronograma!G20</f>
        <v>525000</v>
      </c>
      <c r="D8" s="8">
        <f>Cronograma!H20</f>
        <v>24375.000000000004</v>
      </c>
      <c r="E8" s="46">
        <f>Cronograma!I20</f>
        <v>549375</v>
      </c>
      <c r="F8" s="8">
        <f>Cronograma!E20</f>
        <v>150000</v>
      </c>
      <c r="G8" s="8">
        <f>Cronograma!J20</f>
        <v>45000</v>
      </c>
      <c r="H8" s="8">
        <f>Cronograma!F20+Cronograma!K20</f>
        <v>19062.5</v>
      </c>
      <c r="I8" s="8">
        <f>Cronograma!L20</f>
        <v>6421.875</v>
      </c>
      <c r="J8" s="47">
        <f>Cronograma!M20</f>
        <v>220484.375</v>
      </c>
      <c r="K8" s="47">
        <f>Cronograma!N20</f>
        <v>328890.625</v>
      </c>
      <c r="L8" s="8">
        <f>Cronograma!O20</f>
        <v>115111.71874999999</v>
      </c>
      <c r="M8" s="8">
        <f>Cronograma!Q20</f>
        <v>43950</v>
      </c>
      <c r="N8" s="8">
        <f>Cronograma!R20</f>
        <v>27446.525358284485</v>
      </c>
      <c r="O8" s="47">
        <f>Cronograma!S20</f>
        <v>142382.38089171553</v>
      </c>
      <c r="P8" s="47">
        <f>Cronograma!T20</f>
        <v>-1687385.9763272502</v>
      </c>
    </row>
    <row r="9" spans="1:16" ht="15" customHeight="1" x14ac:dyDescent="0.2">
      <c r="A9" s="48" t="str">
        <f>Cronograma!C21</f>
        <v>Junho</v>
      </c>
      <c r="B9" s="49">
        <f>Cronograma!D21</f>
        <v>10</v>
      </c>
      <c r="C9" s="10">
        <f>Cronograma!G21</f>
        <v>525000</v>
      </c>
      <c r="D9" s="10">
        <f>Cronograma!H21</f>
        <v>26250.000000000004</v>
      </c>
      <c r="E9" s="46">
        <f>Cronograma!I21</f>
        <v>551250</v>
      </c>
      <c r="F9" s="10">
        <f>Cronograma!E21</f>
        <v>100000</v>
      </c>
      <c r="G9" s="10">
        <f>Cronograma!J21</f>
        <v>45000</v>
      </c>
      <c r="H9" s="10">
        <f>Cronograma!F21+Cronograma!K21</f>
        <v>19062.5</v>
      </c>
      <c r="I9" s="10">
        <f>Cronograma!L21</f>
        <v>4921.875</v>
      </c>
      <c r="J9" s="50">
        <f>Cronograma!M21</f>
        <v>168984.375</v>
      </c>
      <c r="K9" s="50">
        <f>Cronograma!N21</f>
        <v>382265.625</v>
      </c>
      <c r="L9" s="10">
        <f>Cronograma!O21</f>
        <v>133792.96875</v>
      </c>
      <c r="M9" s="10">
        <f>Cronograma!Q21</f>
        <v>44100</v>
      </c>
      <c r="N9" s="10">
        <f>Cronograma!R21</f>
        <v>25310.789644908753</v>
      </c>
      <c r="O9" s="50">
        <f>Cronograma!S21</f>
        <v>179061.86660509126</v>
      </c>
      <c r="P9" s="50">
        <f>Cronograma!T21</f>
        <v>-1508324.1097221589</v>
      </c>
    </row>
    <row r="10" spans="1:16" ht="15" customHeight="1" x14ac:dyDescent="0.2">
      <c r="A10" s="44" t="str">
        <f>Cronograma!C22</f>
        <v>Julho</v>
      </c>
      <c r="B10" s="45">
        <f>Cronograma!D22</f>
        <v>10</v>
      </c>
      <c r="C10" s="8">
        <f>Cronograma!G22</f>
        <v>525000</v>
      </c>
      <c r="D10" s="8">
        <f>Cronograma!H22</f>
        <v>28125.000000000004</v>
      </c>
      <c r="E10" s="46">
        <f>Cronograma!I22</f>
        <v>553125</v>
      </c>
      <c r="F10" s="8">
        <f>Cronograma!E22</f>
        <v>100000</v>
      </c>
      <c r="G10" s="8">
        <f>Cronograma!J22</f>
        <v>45000</v>
      </c>
      <c r="H10" s="8">
        <f>Cronograma!F22+Cronograma!K22</f>
        <v>19062.5</v>
      </c>
      <c r="I10" s="8">
        <f>Cronograma!L22</f>
        <v>4921.875</v>
      </c>
      <c r="J10" s="47">
        <f>Cronograma!M22</f>
        <v>168984.375</v>
      </c>
      <c r="K10" s="47">
        <f>Cronograma!N22</f>
        <v>384140.625</v>
      </c>
      <c r="L10" s="8">
        <f>Cronograma!O22</f>
        <v>134449.21875</v>
      </c>
      <c r="M10" s="8">
        <f>Cronograma!Q22</f>
        <v>44250</v>
      </c>
      <c r="N10" s="8">
        <f>Cronograma!R22</f>
        <v>22624.861645832381</v>
      </c>
      <c r="O10" s="47">
        <f>Cronograma!S22</f>
        <v>182816.54460416763</v>
      </c>
      <c r="P10" s="47">
        <f>Cronograma!T22</f>
        <v>-1325507.5651179913</v>
      </c>
    </row>
    <row r="11" spans="1:16" ht="15" customHeight="1" x14ac:dyDescent="0.2">
      <c r="A11" s="48" t="str">
        <f>Cronograma!C23</f>
        <v>Agosto</v>
      </c>
      <c r="B11" s="49">
        <f>Cronograma!D23</f>
        <v>10</v>
      </c>
      <c r="C11" s="10">
        <f>Cronograma!G23</f>
        <v>525000</v>
      </c>
      <c r="D11" s="10">
        <f>Cronograma!H23</f>
        <v>30000.000000000004</v>
      </c>
      <c r="E11" s="46">
        <f>Cronograma!I23</f>
        <v>555000</v>
      </c>
      <c r="F11" s="10">
        <f>Cronograma!E23</f>
        <v>80000</v>
      </c>
      <c r="G11" s="10">
        <f>Cronograma!J23</f>
        <v>45000</v>
      </c>
      <c r="H11" s="10">
        <f>Cronograma!F23+Cronograma!K23</f>
        <v>19062.5</v>
      </c>
      <c r="I11" s="10">
        <f>Cronograma!L23</f>
        <v>4321.875</v>
      </c>
      <c r="J11" s="50">
        <f>Cronograma!M23</f>
        <v>148384.375</v>
      </c>
      <c r="K11" s="50">
        <f>Cronograma!N23</f>
        <v>406615.625</v>
      </c>
      <c r="L11" s="10">
        <f>Cronograma!O23</f>
        <v>142315.46875</v>
      </c>
      <c r="M11" s="10">
        <f>Cronograma!Q23</f>
        <v>44400</v>
      </c>
      <c r="N11" s="10">
        <f>Cronograma!R23</f>
        <v>19882.613476769868</v>
      </c>
      <c r="O11" s="50">
        <f>Cronograma!S23</f>
        <v>200017.54277323012</v>
      </c>
      <c r="P11" s="50">
        <f>Cronograma!T23</f>
        <v>-1125490.0223447611</v>
      </c>
    </row>
    <row r="12" spans="1:16" ht="15" customHeight="1" x14ac:dyDescent="0.2">
      <c r="A12" s="44" t="str">
        <f>Cronograma!C24</f>
        <v>Setembro</v>
      </c>
      <c r="B12" s="45">
        <f>Cronograma!D24</f>
        <v>10</v>
      </c>
      <c r="C12" s="8">
        <f>Cronograma!G24</f>
        <v>525000</v>
      </c>
      <c r="D12" s="8">
        <f>Cronograma!H24</f>
        <v>31875.000000000004</v>
      </c>
      <c r="E12" s="46">
        <f>Cronograma!I24</f>
        <v>556875</v>
      </c>
      <c r="F12" s="8">
        <f>Cronograma!E24</f>
        <v>60000</v>
      </c>
      <c r="G12" s="8">
        <f>Cronograma!J24</f>
        <v>45000</v>
      </c>
      <c r="H12" s="8">
        <f>Cronograma!F24+Cronograma!K24</f>
        <v>19062.5</v>
      </c>
      <c r="I12" s="8">
        <f>Cronograma!L24</f>
        <v>3721.875</v>
      </c>
      <c r="J12" s="47">
        <f>Cronograma!M24</f>
        <v>127784.375</v>
      </c>
      <c r="K12" s="47">
        <f>Cronograma!N24</f>
        <v>429090.625</v>
      </c>
      <c r="L12" s="8">
        <f>Cronograma!O24</f>
        <v>150181.71875</v>
      </c>
      <c r="M12" s="8">
        <f>Cronograma!Q24</f>
        <v>44550</v>
      </c>
      <c r="N12" s="8">
        <f>Cronograma!R24</f>
        <v>16882.350335171417</v>
      </c>
      <c r="O12" s="47">
        <f>Cronograma!S24</f>
        <v>217476.55591482858</v>
      </c>
      <c r="P12" s="47">
        <f>Cronograma!T24</f>
        <v>-908013.46642993251</v>
      </c>
    </row>
    <row r="13" spans="1:16" ht="15" customHeight="1" x14ac:dyDescent="0.2">
      <c r="A13" s="48" t="str">
        <f>Cronograma!C25</f>
        <v>Outubro</v>
      </c>
      <c r="B13" s="49">
        <f>Cronograma!D25</f>
        <v>10</v>
      </c>
      <c r="C13" s="10">
        <f>Cronograma!G25</f>
        <v>525000</v>
      </c>
      <c r="D13" s="10">
        <f>Cronograma!H25</f>
        <v>33750.000000000007</v>
      </c>
      <c r="E13" s="46">
        <f>Cronograma!I25</f>
        <v>558750</v>
      </c>
      <c r="F13" s="10">
        <f>Cronograma!E25</f>
        <v>50000</v>
      </c>
      <c r="G13" s="10">
        <f>Cronograma!J25</f>
        <v>45000</v>
      </c>
      <c r="H13" s="10">
        <f>Cronograma!F25+Cronograma!K25</f>
        <v>19062.5</v>
      </c>
      <c r="I13" s="10">
        <f>Cronograma!L25</f>
        <v>3421.875</v>
      </c>
      <c r="J13" s="50">
        <f>Cronograma!M25</f>
        <v>117484.375</v>
      </c>
      <c r="K13" s="50">
        <f>Cronograma!N25</f>
        <v>441265.625</v>
      </c>
      <c r="L13" s="10">
        <f>Cronograma!O25</f>
        <v>154442.96875</v>
      </c>
      <c r="M13" s="10">
        <f>Cronograma!Q25</f>
        <v>44700</v>
      </c>
      <c r="N13" s="10">
        <f>Cronograma!R25</f>
        <v>13620.201996448986</v>
      </c>
      <c r="O13" s="50">
        <f>Cronograma!S25</f>
        <v>228502.45425355103</v>
      </c>
      <c r="P13" s="50">
        <f>Cronograma!T25</f>
        <v>-679511.01217638142</v>
      </c>
    </row>
    <row r="14" spans="1:16" ht="15" customHeight="1" x14ac:dyDescent="0.2">
      <c r="A14" s="44" t="str">
        <f>Cronograma!C26</f>
        <v>Novembro</v>
      </c>
      <c r="B14" s="45">
        <f>Cronograma!D26</f>
        <v>10</v>
      </c>
      <c r="C14" s="8">
        <f>Cronograma!G26</f>
        <v>525000</v>
      </c>
      <c r="D14" s="8">
        <f>Cronograma!H26</f>
        <v>35625.000000000007</v>
      </c>
      <c r="E14" s="46">
        <f>Cronograma!I26</f>
        <v>560625</v>
      </c>
      <c r="F14" s="8">
        <f>Cronograma!E26</f>
        <v>30000</v>
      </c>
      <c r="G14" s="8">
        <f>Cronograma!J26</f>
        <v>45000</v>
      </c>
      <c r="H14" s="8">
        <f>Cronograma!F26+Cronograma!K26</f>
        <v>19062.5</v>
      </c>
      <c r="I14" s="8">
        <f>Cronograma!L26</f>
        <v>2821.875</v>
      </c>
      <c r="J14" s="47">
        <f>Cronograma!M26</f>
        <v>96884.375</v>
      </c>
      <c r="K14" s="47">
        <f>Cronograma!N26</f>
        <v>463740.625</v>
      </c>
      <c r="L14" s="8">
        <f>Cronograma!O26</f>
        <v>162309.21875</v>
      </c>
      <c r="M14" s="8">
        <f>Cronograma!Q26</f>
        <v>44850</v>
      </c>
      <c r="N14" s="8">
        <f>Cronograma!R26</f>
        <v>10192.665182645722</v>
      </c>
      <c r="O14" s="47">
        <f>Cronograma!S26</f>
        <v>246388.74106735428</v>
      </c>
      <c r="P14" s="47">
        <f>Cronograma!T26</f>
        <v>-433122.27110902715</v>
      </c>
    </row>
    <row r="15" spans="1:16" ht="15" customHeight="1" x14ac:dyDescent="0.2">
      <c r="A15" s="48" t="str">
        <f>Cronograma!C27</f>
        <v>Dezembro</v>
      </c>
      <c r="B15" s="49">
        <f>Cronograma!D27</f>
        <v>10</v>
      </c>
      <c r="C15" s="10">
        <f>Cronograma!G27</f>
        <v>525000</v>
      </c>
      <c r="D15" s="10">
        <f>Cronograma!H27</f>
        <v>37500.000000000007</v>
      </c>
      <c r="E15" s="46">
        <f>Cronograma!I27</f>
        <v>562500</v>
      </c>
      <c r="F15" s="10">
        <f>Cronograma!E27</f>
        <v>30000</v>
      </c>
      <c r="G15" s="10">
        <f>Cronograma!J27</f>
        <v>45000</v>
      </c>
      <c r="H15" s="10">
        <f>Cronograma!F27+Cronograma!K27</f>
        <v>19062.5</v>
      </c>
      <c r="I15" s="10">
        <f>Cronograma!L27</f>
        <v>2821.875</v>
      </c>
      <c r="J15" s="50">
        <f>Cronograma!M27</f>
        <v>96884.375</v>
      </c>
      <c r="K15" s="50">
        <f>Cronograma!N27</f>
        <v>465615.625</v>
      </c>
      <c r="L15" s="10">
        <f>Cronograma!O27</f>
        <v>162965.46875</v>
      </c>
      <c r="M15" s="10">
        <f>Cronograma!Q27</f>
        <v>45000</v>
      </c>
      <c r="N15" s="10">
        <f>Cronograma!R27</f>
        <v>6496.834066635407</v>
      </c>
      <c r="O15" s="50">
        <f>Cronograma!S27</f>
        <v>251153.32218336459</v>
      </c>
      <c r="P15" s="50">
        <f>Cronograma!T27</f>
        <v>-181968.94892566255</v>
      </c>
    </row>
    <row r="16" spans="1:16" ht="18" customHeight="1" x14ac:dyDescent="0.2">
      <c r="A16" s="51" t="s">
        <v>129</v>
      </c>
      <c r="B16" s="52">
        <f t="shared" ref="B16:O16" si="0">SUM(B4:B15)</f>
        <v>120</v>
      </c>
      <c r="C16" s="53">
        <f t="shared" si="0"/>
        <v>6300000</v>
      </c>
      <c r="D16" s="53">
        <f t="shared" si="0"/>
        <v>326250.00000000006</v>
      </c>
      <c r="E16" s="53">
        <f t="shared" si="0"/>
        <v>6626250</v>
      </c>
      <c r="F16" s="53">
        <f t="shared" si="0"/>
        <v>1800000</v>
      </c>
      <c r="G16" s="53">
        <f t="shared" si="0"/>
        <v>540000</v>
      </c>
      <c r="H16" s="53">
        <f t="shared" si="0"/>
        <v>228750</v>
      </c>
      <c r="I16" s="53">
        <f t="shared" si="0"/>
        <v>77062.5</v>
      </c>
      <c r="J16" s="53">
        <f t="shared" si="0"/>
        <v>2645812.5</v>
      </c>
      <c r="K16" s="53">
        <f t="shared" si="0"/>
        <v>3980437.5</v>
      </c>
      <c r="L16" s="53">
        <f t="shared" si="0"/>
        <v>1393153.125</v>
      </c>
      <c r="M16" s="53">
        <f t="shared" si="0"/>
        <v>530100</v>
      </c>
      <c r="N16" s="53">
        <f t="shared" si="0"/>
        <v>260434.13919289623</v>
      </c>
      <c r="O16" s="53">
        <f t="shared" si="0"/>
        <v>1796750.2358071038</v>
      </c>
      <c r="P16" s="53">
        <f>Cronograma!T27</f>
        <v>-181968.94892566255</v>
      </c>
    </row>
    <row r="18" spans="1:16" ht="22" customHeight="1" x14ac:dyDescent="0.2">
      <c r="A18" s="70" t="s">
        <v>127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</sheetData>
  <mergeCells count="3">
    <mergeCell ref="A1:P1"/>
    <mergeCell ref="A18:P18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"/>
  <sheetViews>
    <sheetView zoomScale="140" zoomScaleNormal="140" workbookViewId="0">
      <pane xSplit="1" ySplit="3" topLeftCell="B4" activePane="bottomRight" state="frozen"/>
      <selection pane="topRight"/>
      <selection pane="bottomLeft"/>
      <selection pane="bottomRight" sqref="A1:P1"/>
    </sheetView>
  </sheetViews>
  <sheetFormatPr baseColWidth="10" defaultColWidth="8.83203125" defaultRowHeight="15" x14ac:dyDescent="0.2"/>
  <cols>
    <col min="1" max="1" width="12" customWidth="1"/>
    <col min="2" max="2" width="9" customWidth="1"/>
    <col min="3" max="6" width="14" customWidth="1"/>
    <col min="7" max="8" width="13" customWidth="1"/>
    <col min="9" max="9" width="12" customWidth="1"/>
    <col min="10" max="11" width="14" customWidth="1"/>
    <col min="12" max="12" width="13" customWidth="1"/>
    <col min="13" max="13" width="12" customWidth="1"/>
    <col min="14" max="14" width="13" customWidth="1"/>
    <col min="15" max="15" width="14" customWidth="1"/>
    <col min="16" max="16" width="15" customWidth="1"/>
  </cols>
  <sheetData>
    <row r="1" spans="1:16" ht="24" customHeight="1" x14ac:dyDescent="0.2">
      <c r="A1" s="64" t="s">
        <v>130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16" customHeight="1" x14ac:dyDescent="0.2">
      <c r="A2" s="71" t="str">
        <f>TEXT(SUMIF(Cronograma!$B$4:'Cronograma'!$B$51,3,Cronograma!$D$4:'Cronograma'!$D$51),"#,##0")&amp;" lotes vendidos  |  Receita: "&amp;TEXT(SUMIF(Cronograma!$B$4:'Cronograma'!$B$51,3,Cronograma!$I$4:'Cronograma'!$I$51),"R$ #,##0")&amp;"  |  Fluxo Líq.: "&amp;TEXT(SUMIF(Cronograma!$B$4:'Cronograma'!$B$51,3,Cronograma!$S$4:'Cronograma'!$S$51),"R$ #,##0")</f>
        <v>120,0 lotes vendidos  |  Receita: R$ 6896250,0  |  Fluxo Líq.: R$ 3360567,019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28" customHeight="1" x14ac:dyDescent="0.2">
      <c r="A3" s="28" t="s">
        <v>82</v>
      </c>
      <c r="B3" s="28" t="s">
        <v>116</v>
      </c>
      <c r="C3" s="30" t="s">
        <v>88</v>
      </c>
      <c r="D3" s="30" t="s">
        <v>89</v>
      </c>
      <c r="E3" s="30" t="s">
        <v>90</v>
      </c>
      <c r="F3" s="31" t="s">
        <v>117</v>
      </c>
      <c r="G3" s="31" t="s">
        <v>118</v>
      </c>
      <c r="H3" s="31" t="s">
        <v>119</v>
      </c>
      <c r="I3" s="31" t="s">
        <v>120</v>
      </c>
      <c r="J3" s="31" t="s">
        <v>94</v>
      </c>
      <c r="K3" s="28" t="s">
        <v>121</v>
      </c>
      <c r="L3" s="28" t="s">
        <v>122</v>
      </c>
      <c r="M3" s="29" t="s">
        <v>123</v>
      </c>
      <c r="N3" s="29" t="s">
        <v>124</v>
      </c>
      <c r="O3" s="29" t="s">
        <v>100</v>
      </c>
      <c r="P3" s="29" t="s">
        <v>125</v>
      </c>
    </row>
    <row r="4" spans="1:16" ht="15" customHeight="1" x14ac:dyDescent="0.2">
      <c r="A4" s="44" t="str">
        <f>Cronograma!C28</f>
        <v>Janeiro</v>
      </c>
      <c r="B4" s="45">
        <f>Cronograma!D28</f>
        <v>10</v>
      </c>
      <c r="C4" s="8">
        <f>Cronograma!G28</f>
        <v>525000</v>
      </c>
      <c r="D4" s="8">
        <f>Cronograma!H28</f>
        <v>39375.000000000007</v>
      </c>
      <c r="E4" s="46">
        <f>Cronograma!I28</f>
        <v>564375</v>
      </c>
      <c r="F4" s="8">
        <f>Cronograma!E28</f>
        <v>8333</v>
      </c>
      <c r="G4" s="8">
        <f>Cronograma!J28</f>
        <v>45000</v>
      </c>
      <c r="H4" s="8">
        <f>Cronograma!F28+Cronograma!K28</f>
        <v>17312.5</v>
      </c>
      <c r="I4" s="8">
        <f>Cronograma!L28</f>
        <v>2119.3649999999998</v>
      </c>
      <c r="J4" s="47">
        <f>Cronograma!M28</f>
        <v>72764.865000000005</v>
      </c>
      <c r="K4" s="47">
        <f>Cronograma!N28</f>
        <v>491610.13500000001</v>
      </c>
      <c r="L4" s="8">
        <f>Cronograma!O28</f>
        <v>172063.54725</v>
      </c>
      <c r="M4" s="8">
        <f>Cronograma!Q28</f>
        <v>45150</v>
      </c>
      <c r="N4" s="8">
        <f>Cronograma!R28</f>
        <v>2729.5342338849382</v>
      </c>
      <c r="O4" s="47">
        <f>Cronograma!S28</f>
        <v>271667.05351611506</v>
      </c>
      <c r="P4" s="47">
        <f>Cronograma!T28</f>
        <v>89698.104590452509</v>
      </c>
    </row>
    <row r="5" spans="1:16" ht="15" customHeight="1" x14ac:dyDescent="0.2">
      <c r="A5" s="48" t="str">
        <f>Cronograma!C29</f>
        <v>Fevereiro</v>
      </c>
      <c r="B5" s="49">
        <f>Cronograma!D29</f>
        <v>10</v>
      </c>
      <c r="C5" s="10">
        <f>Cronograma!G29</f>
        <v>525000</v>
      </c>
      <c r="D5" s="10">
        <f>Cronograma!H29</f>
        <v>41250.000000000007</v>
      </c>
      <c r="E5" s="46">
        <f>Cronograma!I29</f>
        <v>566250</v>
      </c>
      <c r="F5" s="10">
        <f>Cronograma!E29</f>
        <v>8333</v>
      </c>
      <c r="G5" s="10">
        <f>Cronograma!J29</f>
        <v>45000</v>
      </c>
      <c r="H5" s="10">
        <f>Cronograma!F29+Cronograma!K29</f>
        <v>17312.5</v>
      </c>
      <c r="I5" s="10">
        <f>Cronograma!L29</f>
        <v>2119.3649999999998</v>
      </c>
      <c r="J5" s="50">
        <f>Cronograma!M29</f>
        <v>72764.865000000005</v>
      </c>
      <c r="K5" s="50">
        <f>Cronograma!N29</f>
        <v>493485.13500000001</v>
      </c>
      <c r="L5" s="10">
        <f>Cronograma!O29</f>
        <v>172719.79725</v>
      </c>
      <c r="M5" s="10">
        <f>Cronograma!Q29</f>
        <v>45300</v>
      </c>
      <c r="N5" s="10">
        <f>Cronograma!R29</f>
        <v>0</v>
      </c>
      <c r="O5" s="50">
        <f>Cronograma!S29</f>
        <v>275465.33775000001</v>
      </c>
      <c r="P5" s="50">
        <f>Cronograma!T29</f>
        <v>365163.44234045252</v>
      </c>
    </row>
    <row r="6" spans="1:16" ht="15" customHeight="1" x14ac:dyDescent="0.2">
      <c r="A6" s="44" t="str">
        <f>Cronograma!C30</f>
        <v>Março</v>
      </c>
      <c r="B6" s="45">
        <f>Cronograma!D30</f>
        <v>10</v>
      </c>
      <c r="C6" s="8">
        <f>Cronograma!G30</f>
        <v>525000</v>
      </c>
      <c r="D6" s="8">
        <f>Cronograma!H30</f>
        <v>43125.000000000007</v>
      </c>
      <c r="E6" s="46">
        <f>Cronograma!I30</f>
        <v>568125</v>
      </c>
      <c r="F6" s="8">
        <f>Cronograma!E30</f>
        <v>8333</v>
      </c>
      <c r="G6" s="8">
        <f>Cronograma!J30</f>
        <v>45000</v>
      </c>
      <c r="H6" s="8">
        <f>Cronograma!F30+Cronograma!K30</f>
        <v>17312.5</v>
      </c>
      <c r="I6" s="8">
        <f>Cronograma!L30</f>
        <v>2119.3649999999998</v>
      </c>
      <c r="J6" s="47">
        <f>Cronograma!M30</f>
        <v>72764.865000000005</v>
      </c>
      <c r="K6" s="47">
        <f>Cronograma!N30</f>
        <v>495360.13500000001</v>
      </c>
      <c r="L6" s="8">
        <f>Cronograma!O30</f>
        <v>173376.04725</v>
      </c>
      <c r="M6" s="8">
        <f>Cronograma!Q30</f>
        <v>45450</v>
      </c>
      <c r="N6" s="8">
        <f>Cronograma!R30</f>
        <v>0</v>
      </c>
      <c r="O6" s="47">
        <f>Cronograma!S30</f>
        <v>276534.08775000001</v>
      </c>
      <c r="P6" s="47">
        <f>Cronograma!T30</f>
        <v>641697.53009045252</v>
      </c>
    </row>
    <row r="7" spans="1:16" ht="15" customHeight="1" x14ac:dyDescent="0.2">
      <c r="A7" s="48" t="str">
        <f>Cronograma!C31</f>
        <v>Abril</v>
      </c>
      <c r="B7" s="49">
        <f>Cronograma!D31</f>
        <v>10</v>
      </c>
      <c r="C7" s="10">
        <f>Cronograma!G31</f>
        <v>525000</v>
      </c>
      <c r="D7" s="10">
        <f>Cronograma!H31</f>
        <v>45000.000000000007</v>
      </c>
      <c r="E7" s="46">
        <f>Cronograma!I31</f>
        <v>570000</v>
      </c>
      <c r="F7" s="10">
        <f>Cronograma!E31</f>
        <v>8333</v>
      </c>
      <c r="G7" s="10">
        <f>Cronograma!J31</f>
        <v>45000</v>
      </c>
      <c r="H7" s="10">
        <f>Cronograma!F31+Cronograma!K31</f>
        <v>17312.5</v>
      </c>
      <c r="I7" s="10">
        <f>Cronograma!L31</f>
        <v>2119.3649999999998</v>
      </c>
      <c r="J7" s="50">
        <f>Cronograma!M31</f>
        <v>72764.865000000005</v>
      </c>
      <c r="K7" s="50">
        <f>Cronograma!N31</f>
        <v>497235.13500000001</v>
      </c>
      <c r="L7" s="10">
        <f>Cronograma!O31</f>
        <v>174032.29725</v>
      </c>
      <c r="M7" s="10">
        <f>Cronograma!Q31</f>
        <v>45600</v>
      </c>
      <c r="N7" s="10">
        <f>Cronograma!R31</f>
        <v>0</v>
      </c>
      <c r="O7" s="50">
        <f>Cronograma!S31</f>
        <v>277602.83775000001</v>
      </c>
      <c r="P7" s="50">
        <f>Cronograma!T31</f>
        <v>919300.36784045259</v>
      </c>
    </row>
    <row r="8" spans="1:16" ht="15" customHeight="1" x14ac:dyDescent="0.2">
      <c r="A8" s="44" t="str">
        <f>Cronograma!C32</f>
        <v>Maio</v>
      </c>
      <c r="B8" s="45">
        <f>Cronograma!D32</f>
        <v>10</v>
      </c>
      <c r="C8" s="8">
        <f>Cronograma!G32</f>
        <v>525000</v>
      </c>
      <c r="D8" s="8">
        <f>Cronograma!H32</f>
        <v>46875.000000000007</v>
      </c>
      <c r="E8" s="46">
        <f>Cronograma!I32</f>
        <v>571875</v>
      </c>
      <c r="F8" s="8">
        <f>Cronograma!E32</f>
        <v>8333</v>
      </c>
      <c r="G8" s="8">
        <f>Cronograma!J32</f>
        <v>45000</v>
      </c>
      <c r="H8" s="8">
        <f>Cronograma!F32+Cronograma!K32</f>
        <v>17312.5</v>
      </c>
      <c r="I8" s="8">
        <f>Cronograma!L32</f>
        <v>2119.3649999999998</v>
      </c>
      <c r="J8" s="47">
        <f>Cronograma!M32</f>
        <v>72764.865000000005</v>
      </c>
      <c r="K8" s="47">
        <f>Cronograma!N32</f>
        <v>499110.13500000001</v>
      </c>
      <c r="L8" s="8">
        <f>Cronograma!O32</f>
        <v>174688.54725</v>
      </c>
      <c r="M8" s="8">
        <f>Cronograma!Q32</f>
        <v>45750</v>
      </c>
      <c r="N8" s="8">
        <f>Cronograma!R32</f>
        <v>0</v>
      </c>
      <c r="O8" s="47">
        <f>Cronograma!S32</f>
        <v>278671.58775000001</v>
      </c>
      <c r="P8" s="47">
        <f>Cronograma!T32</f>
        <v>1197971.9555904525</v>
      </c>
    </row>
    <row r="9" spans="1:16" ht="15" customHeight="1" x14ac:dyDescent="0.2">
      <c r="A9" s="48" t="str">
        <f>Cronograma!C33</f>
        <v>Junho</v>
      </c>
      <c r="B9" s="49">
        <f>Cronograma!D33</f>
        <v>10</v>
      </c>
      <c r="C9" s="10">
        <f>Cronograma!G33</f>
        <v>525000</v>
      </c>
      <c r="D9" s="10">
        <f>Cronograma!H33</f>
        <v>48750.000000000007</v>
      </c>
      <c r="E9" s="46">
        <f>Cronograma!I33</f>
        <v>573750</v>
      </c>
      <c r="F9" s="10">
        <f>Cronograma!E33</f>
        <v>8333</v>
      </c>
      <c r="G9" s="10">
        <f>Cronograma!J33</f>
        <v>45000</v>
      </c>
      <c r="H9" s="10">
        <f>Cronograma!F33+Cronograma!K33</f>
        <v>17312.5</v>
      </c>
      <c r="I9" s="10">
        <f>Cronograma!L33</f>
        <v>2119.3649999999998</v>
      </c>
      <c r="J9" s="50">
        <f>Cronograma!M33</f>
        <v>72764.865000000005</v>
      </c>
      <c r="K9" s="50">
        <f>Cronograma!N33</f>
        <v>500985.13500000001</v>
      </c>
      <c r="L9" s="10">
        <f>Cronograma!O33</f>
        <v>175344.79725</v>
      </c>
      <c r="M9" s="10">
        <f>Cronograma!Q33</f>
        <v>45900</v>
      </c>
      <c r="N9" s="10">
        <f>Cronograma!R33</f>
        <v>0</v>
      </c>
      <c r="O9" s="50">
        <f>Cronograma!S33</f>
        <v>279740.33775000001</v>
      </c>
      <c r="P9" s="50">
        <f>Cronograma!T33</f>
        <v>1477712.2933404525</v>
      </c>
    </row>
    <row r="10" spans="1:16" ht="15" customHeight="1" x14ac:dyDescent="0.2">
      <c r="A10" s="44" t="str">
        <f>Cronograma!C34</f>
        <v>Julho</v>
      </c>
      <c r="B10" s="45">
        <f>Cronograma!D34</f>
        <v>10</v>
      </c>
      <c r="C10" s="8">
        <f>Cronograma!G34</f>
        <v>525000</v>
      </c>
      <c r="D10" s="8">
        <f>Cronograma!H34</f>
        <v>50625.000000000007</v>
      </c>
      <c r="E10" s="46">
        <f>Cronograma!I34</f>
        <v>575625</v>
      </c>
      <c r="F10" s="8">
        <f>Cronograma!E34</f>
        <v>8333</v>
      </c>
      <c r="G10" s="8">
        <f>Cronograma!J34</f>
        <v>45000</v>
      </c>
      <c r="H10" s="8">
        <f>Cronograma!F34+Cronograma!K34</f>
        <v>17312.5</v>
      </c>
      <c r="I10" s="8">
        <f>Cronograma!L34</f>
        <v>2119.3649999999998</v>
      </c>
      <c r="J10" s="47">
        <f>Cronograma!M34</f>
        <v>72764.865000000005</v>
      </c>
      <c r="K10" s="47">
        <f>Cronograma!N34</f>
        <v>502860.13500000001</v>
      </c>
      <c r="L10" s="8">
        <f>Cronograma!O34</f>
        <v>176001.04725</v>
      </c>
      <c r="M10" s="8">
        <f>Cronograma!Q34</f>
        <v>46050</v>
      </c>
      <c r="N10" s="8">
        <f>Cronograma!R34</f>
        <v>0</v>
      </c>
      <c r="O10" s="47">
        <f>Cronograma!S34</f>
        <v>280809.08775000001</v>
      </c>
      <c r="P10" s="47">
        <f>Cronograma!T34</f>
        <v>1758521.3810904524</v>
      </c>
    </row>
    <row r="11" spans="1:16" ht="15" customHeight="1" x14ac:dyDescent="0.2">
      <c r="A11" s="48" t="str">
        <f>Cronograma!C35</f>
        <v>Agosto</v>
      </c>
      <c r="B11" s="49">
        <f>Cronograma!D35</f>
        <v>10</v>
      </c>
      <c r="C11" s="10">
        <f>Cronograma!G35</f>
        <v>525000</v>
      </c>
      <c r="D11" s="10">
        <f>Cronograma!H35</f>
        <v>52500.000000000007</v>
      </c>
      <c r="E11" s="46">
        <f>Cronograma!I35</f>
        <v>577500</v>
      </c>
      <c r="F11" s="10">
        <f>Cronograma!E35</f>
        <v>8333</v>
      </c>
      <c r="G11" s="10">
        <f>Cronograma!J35</f>
        <v>45000</v>
      </c>
      <c r="H11" s="10">
        <f>Cronograma!F35+Cronograma!K35</f>
        <v>17312.5</v>
      </c>
      <c r="I11" s="10">
        <f>Cronograma!L35</f>
        <v>2119.3649999999998</v>
      </c>
      <c r="J11" s="50">
        <f>Cronograma!M35</f>
        <v>72764.865000000005</v>
      </c>
      <c r="K11" s="50">
        <f>Cronograma!N35</f>
        <v>504735.13500000001</v>
      </c>
      <c r="L11" s="10">
        <f>Cronograma!O35</f>
        <v>176657.29725</v>
      </c>
      <c r="M11" s="10">
        <f>Cronograma!Q35</f>
        <v>46200</v>
      </c>
      <c r="N11" s="10">
        <f>Cronograma!R35</f>
        <v>0</v>
      </c>
      <c r="O11" s="50">
        <f>Cronograma!S35</f>
        <v>281877.83775000001</v>
      </c>
      <c r="P11" s="50">
        <f>Cronograma!T35</f>
        <v>2040399.2188404524</v>
      </c>
    </row>
    <row r="12" spans="1:16" ht="15" customHeight="1" x14ac:dyDescent="0.2">
      <c r="A12" s="44" t="str">
        <f>Cronograma!C36</f>
        <v>Setembro</v>
      </c>
      <c r="B12" s="45">
        <f>Cronograma!D36</f>
        <v>10</v>
      </c>
      <c r="C12" s="8">
        <f>Cronograma!G36</f>
        <v>525000</v>
      </c>
      <c r="D12" s="8">
        <f>Cronograma!H36</f>
        <v>54375.000000000007</v>
      </c>
      <c r="E12" s="46">
        <f>Cronograma!I36</f>
        <v>579375</v>
      </c>
      <c r="F12" s="8">
        <f>Cronograma!E36</f>
        <v>8333</v>
      </c>
      <c r="G12" s="8">
        <f>Cronograma!J36</f>
        <v>45000</v>
      </c>
      <c r="H12" s="8">
        <f>Cronograma!F36+Cronograma!K36</f>
        <v>17312.5</v>
      </c>
      <c r="I12" s="8">
        <f>Cronograma!L36</f>
        <v>2119.3649999999998</v>
      </c>
      <c r="J12" s="47">
        <f>Cronograma!M36</f>
        <v>72764.865000000005</v>
      </c>
      <c r="K12" s="47">
        <f>Cronograma!N36</f>
        <v>506610.13500000001</v>
      </c>
      <c r="L12" s="8">
        <f>Cronograma!O36</f>
        <v>177313.54725</v>
      </c>
      <c r="M12" s="8">
        <f>Cronograma!Q36</f>
        <v>46350</v>
      </c>
      <c r="N12" s="8">
        <f>Cronograma!R36</f>
        <v>0</v>
      </c>
      <c r="O12" s="47">
        <f>Cronograma!S36</f>
        <v>282946.58775000001</v>
      </c>
      <c r="P12" s="47">
        <f>Cronograma!T36</f>
        <v>2323345.8065904523</v>
      </c>
    </row>
    <row r="13" spans="1:16" ht="15" customHeight="1" x14ac:dyDescent="0.2">
      <c r="A13" s="48" t="str">
        <f>Cronograma!C37</f>
        <v>Outubro</v>
      </c>
      <c r="B13" s="49">
        <f>Cronograma!D37</f>
        <v>10</v>
      </c>
      <c r="C13" s="10">
        <f>Cronograma!G37</f>
        <v>525000</v>
      </c>
      <c r="D13" s="10">
        <f>Cronograma!H37</f>
        <v>56250.000000000007</v>
      </c>
      <c r="E13" s="46">
        <f>Cronograma!I37</f>
        <v>581250</v>
      </c>
      <c r="F13" s="10">
        <f>Cronograma!E37</f>
        <v>8333</v>
      </c>
      <c r="G13" s="10">
        <f>Cronograma!J37</f>
        <v>45000</v>
      </c>
      <c r="H13" s="10">
        <f>Cronograma!F37+Cronograma!K37</f>
        <v>17312.5</v>
      </c>
      <c r="I13" s="10">
        <f>Cronograma!L37</f>
        <v>2119.3649999999998</v>
      </c>
      <c r="J13" s="50">
        <f>Cronograma!M37</f>
        <v>72764.865000000005</v>
      </c>
      <c r="K13" s="50">
        <f>Cronograma!N37</f>
        <v>508485.13500000001</v>
      </c>
      <c r="L13" s="10">
        <f>Cronograma!O37</f>
        <v>177969.79725</v>
      </c>
      <c r="M13" s="10">
        <f>Cronograma!Q37</f>
        <v>46500</v>
      </c>
      <c r="N13" s="10">
        <f>Cronograma!R37</f>
        <v>0</v>
      </c>
      <c r="O13" s="50">
        <f>Cronograma!S37</f>
        <v>284015.33775000001</v>
      </c>
      <c r="P13" s="50">
        <f>Cronograma!T37</f>
        <v>2607361.1443404523</v>
      </c>
    </row>
    <row r="14" spans="1:16" ht="15" customHeight="1" x14ac:dyDescent="0.2">
      <c r="A14" s="44" t="str">
        <f>Cronograma!C38</f>
        <v>Novembro</v>
      </c>
      <c r="B14" s="45">
        <f>Cronograma!D38</f>
        <v>10</v>
      </c>
      <c r="C14" s="8">
        <f>Cronograma!G38</f>
        <v>525000</v>
      </c>
      <c r="D14" s="8">
        <f>Cronograma!H38</f>
        <v>58125.000000000007</v>
      </c>
      <c r="E14" s="46">
        <f>Cronograma!I38</f>
        <v>583125</v>
      </c>
      <c r="F14" s="8">
        <f>Cronograma!E38</f>
        <v>8333</v>
      </c>
      <c r="G14" s="8">
        <f>Cronograma!J38</f>
        <v>45000</v>
      </c>
      <c r="H14" s="8">
        <f>Cronograma!F38+Cronograma!K38</f>
        <v>17312.5</v>
      </c>
      <c r="I14" s="8">
        <f>Cronograma!L38</f>
        <v>2119.3649999999998</v>
      </c>
      <c r="J14" s="47">
        <f>Cronograma!M38</f>
        <v>72764.865000000005</v>
      </c>
      <c r="K14" s="47">
        <f>Cronograma!N38</f>
        <v>510360.13500000001</v>
      </c>
      <c r="L14" s="8">
        <f>Cronograma!O38</f>
        <v>178626.04725</v>
      </c>
      <c r="M14" s="8">
        <f>Cronograma!Q38</f>
        <v>46650</v>
      </c>
      <c r="N14" s="8">
        <f>Cronograma!R38</f>
        <v>0</v>
      </c>
      <c r="O14" s="47">
        <f>Cronograma!S38</f>
        <v>285084.08775000001</v>
      </c>
      <c r="P14" s="47">
        <f>Cronograma!T38</f>
        <v>2892445.2320904522</v>
      </c>
    </row>
    <row r="15" spans="1:16" ht="15" customHeight="1" x14ac:dyDescent="0.2">
      <c r="A15" s="48" t="str">
        <f>Cronograma!C39</f>
        <v>Dezembro</v>
      </c>
      <c r="B15" s="49">
        <f>Cronograma!D39</f>
        <v>10</v>
      </c>
      <c r="C15" s="10">
        <f>Cronograma!G39</f>
        <v>525000</v>
      </c>
      <c r="D15" s="10">
        <f>Cronograma!H39</f>
        <v>60000.000000000007</v>
      </c>
      <c r="E15" s="46">
        <f>Cronograma!I39</f>
        <v>585000</v>
      </c>
      <c r="F15" s="10">
        <f>Cronograma!E39</f>
        <v>8333</v>
      </c>
      <c r="G15" s="10">
        <f>Cronograma!J39</f>
        <v>45000</v>
      </c>
      <c r="H15" s="10">
        <f>Cronograma!F39+Cronograma!K39</f>
        <v>17312.5</v>
      </c>
      <c r="I15" s="10">
        <f>Cronograma!L39</f>
        <v>2119.3649999999998</v>
      </c>
      <c r="J15" s="50">
        <f>Cronograma!M39</f>
        <v>72764.865000000005</v>
      </c>
      <c r="K15" s="50">
        <f>Cronograma!N39</f>
        <v>512235.13500000001</v>
      </c>
      <c r="L15" s="10">
        <f>Cronograma!O39</f>
        <v>179282.29725</v>
      </c>
      <c r="M15" s="10">
        <f>Cronograma!Q39</f>
        <v>46800</v>
      </c>
      <c r="N15" s="10">
        <f>Cronograma!R39</f>
        <v>0</v>
      </c>
      <c r="O15" s="50">
        <f>Cronograma!S39</f>
        <v>286152.83775000001</v>
      </c>
      <c r="P15" s="50">
        <f>Cronograma!T39</f>
        <v>3178598.0698404522</v>
      </c>
    </row>
    <row r="16" spans="1:16" ht="18" customHeight="1" x14ac:dyDescent="0.2">
      <c r="A16" s="51" t="s">
        <v>131</v>
      </c>
      <c r="B16" s="52">
        <f t="shared" ref="B16:O16" si="0">SUM(B4:B15)</f>
        <v>120</v>
      </c>
      <c r="C16" s="53">
        <f t="shared" si="0"/>
        <v>6300000</v>
      </c>
      <c r="D16" s="53">
        <f t="shared" si="0"/>
        <v>596250.00000000012</v>
      </c>
      <c r="E16" s="53">
        <f t="shared" si="0"/>
        <v>6896250</v>
      </c>
      <c r="F16" s="53">
        <f t="shared" si="0"/>
        <v>99996</v>
      </c>
      <c r="G16" s="53">
        <f t="shared" si="0"/>
        <v>540000</v>
      </c>
      <c r="H16" s="53">
        <f t="shared" si="0"/>
        <v>207750</v>
      </c>
      <c r="I16" s="53">
        <f t="shared" si="0"/>
        <v>25432.37999999999</v>
      </c>
      <c r="J16" s="53">
        <f t="shared" si="0"/>
        <v>873178.38</v>
      </c>
      <c r="K16" s="53">
        <f t="shared" si="0"/>
        <v>6023071.6199999982</v>
      </c>
      <c r="L16" s="53">
        <f t="shared" si="0"/>
        <v>2108075.0670000003</v>
      </c>
      <c r="M16" s="53">
        <f t="shared" si="0"/>
        <v>551700</v>
      </c>
      <c r="N16" s="53">
        <f t="shared" si="0"/>
        <v>2729.5342338849382</v>
      </c>
      <c r="O16" s="53">
        <f t="shared" si="0"/>
        <v>3360567.0187661145</v>
      </c>
      <c r="P16" s="53">
        <f>Cronograma!T39</f>
        <v>3178598.0698404522</v>
      </c>
    </row>
    <row r="18" spans="1:16" ht="22" customHeight="1" x14ac:dyDescent="0.2">
      <c r="A18" s="70" t="s">
        <v>127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</sheetData>
  <mergeCells count="3">
    <mergeCell ref="A1:P1"/>
    <mergeCell ref="A18:P18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8"/>
  <sheetViews>
    <sheetView zoomScale="140" zoomScaleNormal="140" workbookViewId="0">
      <pane xSplit="1" ySplit="3" topLeftCell="B4" activePane="bottomRight" state="frozen"/>
      <selection pane="topRight"/>
      <selection pane="bottomLeft"/>
      <selection pane="bottomRight" activeCell="E16" sqref="E16"/>
    </sheetView>
  </sheetViews>
  <sheetFormatPr baseColWidth="10" defaultColWidth="8.83203125" defaultRowHeight="15" x14ac:dyDescent="0.2"/>
  <cols>
    <col min="1" max="1" width="12" customWidth="1"/>
    <col min="2" max="2" width="9" customWidth="1"/>
    <col min="3" max="6" width="14" customWidth="1"/>
    <col min="7" max="8" width="13" customWidth="1"/>
    <col min="9" max="9" width="12" customWidth="1"/>
    <col min="10" max="11" width="14" customWidth="1"/>
    <col min="12" max="12" width="13" customWidth="1"/>
    <col min="13" max="13" width="12" customWidth="1"/>
    <col min="14" max="14" width="13" customWidth="1"/>
    <col min="15" max="15" width="14" customWidth="1"/>
    <col min="16" max="16" width="15" customWidth="1"/>
  </cols>
  <sheetData>
    <row r="1" spans="1:16" ht="24" customHeight="1" x14ac:dyDescent="0.2">
      <c r="A1" s="64" t="s">
        <v>132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16" customHeight="1" x14ac:dyDescent="0.2">
      <c r="A2" s="71" t="str">
        <f>TEXT(SUMIF(Cronograma!$B$4:'Cronograma'!$B$51,4,Cronograma!$D$4:'Cronograma'!$D$51),"#,##0")&amp;" lotes vendidos  |  Receita: "&amp;TEXT(SUMIF(Cronograma!$B$4:'Cronograma'!$B$51,4,Cronograma!$I$4:'Cronograma'!$I$51),"R$ #,##0")&amp;"  |  Fluxo Líq.: "&amp;TEXT(SUMIF(Cronograma!$B$4:'Cronograma'!$B$51,4,Cronograma!$S$4:'Cronograma'!$S$51),"R$ #,##0")</f>
        <v>,0 lotes vendidos  |  Receita: R$ 742500,0  |  Fluxo Líq.: R$ 217189,053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28" customHeight="1" x14ac:dyDescent="0.2">
      <c r="A3" s="28" t="s">
        <v>82</v>
      </c>
      <c r="B3" s="28" t="s">
        <v>116</v>
      </c>
      <c r="C3" s="30" t="s">
        <v>88</v>
      </c>
      <c r="D3" s="30" t="s">
        <v>89</v>
      </c>
      <c r="E3" s="30" t="s">
        <v>90</v>
      </c>
      <c r="F3" s="31" t="s">
        <v>117</v>
      </c>
      <c r="G3" s="31" t="s">
        <v>118</v>
      </c>
      <c r="H3" s="31" t="s">
        <v>119</v>
      </c>
      <c r="I3" s="31" t="s">
        <v>120</v>
      </c>
      <c r="J3" s="31" t="s">
        <v>94</v>
      </c>
      <c r="K3" s="28" t="s">
        <v>121</v>
      </c>
      <c r="L3" s="28" t="s">
        <v>122</v>
      </c>
      <c r="M3" s="29" t="s">
        <v>123</v>
      </c>
      <c r="N3" s="29" t="s">
        <v>124</v>
      </c>
      <c r="O3" s="29" t="s">
        <v>100</v>
      </c>
      <c r="P3" s="29" t="s">
        <v>125</v>
      </c>
    </row>
    <row r="4" spans="1:16" ht="15" customHeight="1" x14ac:dyDescent="0.2">
      <c r="A4" s="44" t="str">
        <f>Cronograma!C40</f>
        <v>Janeiro</v>
      </c>
      <c r="B4" s="45">
        <f>Cronograma!D40</f>
        <v>0</v>
      </c>
      <c r="C4" s="8">
        <f>Cronograma!G40</f>
        <v>0</v>
      </c>
      <c r="D4" s="8">
        <f>Cronograma!H40</f>
        <v>61875.000000000007</v>
      </c>
      <c r="E4" s="46">
        <f>Cronograma!I40</f>
        <v>61875.000000000007</v>
      </c>
      <c r="F4" s="8">
        <f>Cronograma!E40</f>
        <v>8333</v>
      </c>
      <c r="G4" s="8">
        <f>Cronograma!J40</f>
        <v>0</v>
      </c>
      <c r="H4" s="8">
        <f>Cronograma!F40+Cronograma!K40</f>
        <v>17312.5</v>
      </c>
      <c r="I4" s="8">
        <f>Cronograma!L40</f>
        <v>769.36500000000001</v>
      </c>
      <c r="J4" s="47">
        <f>Cronograma!M40</f>
        <v>26414.865000000002</v>
      </c>
      <c r="K4" s="47">
        <f>Cronograma!N40</f>
        <v>35460.135000000009</v>
      </c>
      <c r="L4" s="8">
        <f>Cronograma!O40</f>
        <v>12411.047250000003</v>
      </c>
      <c r="M4" s="8">
        <f>Cronograma!Q40</f>
        <v>4950.0000000000009</v>
      </c>
      <c r="N4" s="8">
        <f>Cronograma!R40</f>
        <v>0</v>
      </c>
      <c r="O4" s="47">
        <f>Cronograma!S40</f>
        <v>18099.087750000006</v>
      </c>
      <c r="P4" s="47">
        <f>Cronograma!T40</f>
        <v>3196697.1575904521</v>
      </c>
    </row>
    <row r="5" spans="1:16" ht="15" customHeight="1" x14ac:dyDescent="0.2">
      <c r="A5" s="48" t="str">
        <f>Cronograma!C41</f>
        <v>Fevereiro</v>
      </c>
      <c r="B5" s="49">
        <f>Cronograma!D41</f>
        <v>0</v>
      </c>
      <c r="C5" s="10">
        <f>Cronograma!G41</f>
        <v>0</v>
      </c>
      <c r="D5" s="10">
        <f>Cronograma!H41</f>
        <v>61875.000000000007</v>
      </c>
      <c r="E5" s="46">
        <f>Cronograma!I41</f>
        <v>61875.000000000007</v>
      </c>
      <c r="F5" s="10">
        <f>Cronograma!E41</f>
        <v>8333</v>
      </c>
      <c r="G5" s="10">
        <f>Cronograma!J41</f>
        <v>0</v>
      </c>
      <c r="H5" s="10">
        <f>Cronograma!F41+Cronograma!K41</f>
        <v>17312.5</v>
      </c>
      <c r="I5" s="10">
        <f>Cronograma!L41</f>
        <v>769.36500000000001</v>
      </c>
      <c r="J5" s="50">
        <f>Cronograma!M41</f>
        <v>26414.865000000002</v>
      </c>
      <c r="K5" s="50">
        <f>Cronograma!N41</f>
        <v>35460.135000000009</v>
      </c>
      <c r="L5" s="10">
        <f>Cronograma!O41</f>
        <v>12411.047250000003</v>
      </c>
      <c r="M5" s="10">
        <f>Cronograma!Q41</f>
        <v>4950.0000000000009</v>
      </c>
      <c r="N5" s="10">
        <f>Cronograma!R41</f>
        <v>0</v>
      </c>
      <c r="O5" s="50">
        <f>Cronograma!S41</f>
        <v>18099.087750000006</v>
      </c>
      <c r="P5" s="50">
        <f>Cronograma!T41</f>
        <v>3214796.2453404521</v>
      </c>
    </row>
    <row r="6" spans="1:16" ht="15" customHeight="1" x14ac:dyDescent="0.2">
      <c r="A6" s="44" t="str">
        <f>Cronograma!C42</f>
        <v>Março</v>
      </c>
      <c r="B6" s="45">
        <f>Cronograma!D42</f>
        <v>0</v>
      </c>
      <c r="C6" s="8">
        <f>Cronograma!G42</f>
        <v>0</v>
      </c>
      <c r="D6" s="8">
        <f>Cronograma!H42</f>
        <v>61875.000000000007</v>
      </c>
      <c r="E6" s="46">
        <f>Cronograma!I42</f>
        <v>61875.000000000007</v>
      </c>
      <c r="F6" s="8">
        <f>Cronograma!E42</f>
        <v>8333</v>
      </c>
      <c r="G6" s="8">
        <f>Cronograma!J42</f>
        <v>0</v>
      </c>
      <c r="H6" s="8">
        <f>Cronograma!F42+Cronograma!K42</f>
        <v>17312.5</v>
      </c>
      <c r="I6" s="8">
        <f>Cronograma!L42</f>
        <v>769.36500000000001</v>
      </c>
      <c r="J6" s="47">
        <f>Cronograma!M42</f>
        <v>26414.865000000002</v>
      </c>
      <c r="K6" s="47">
        <f>Cronograma!N42</f>
        <v>35460.135000000009</v>
      </c>
      <c r="L6" s="8">
        <f>Cronograma!O42</f>
        <v>12411.047250000003</v>
      </c>
      <c r="M6" s="8">
        <f>Cronograma!Q42</f>
        <v>4950.0000000000009</v>
      </c>
      <c r="N6" s="8">
        <f>Cronograma!R42</f>
        <v>0</v>
      </c>
      <c r="O6" s="47">
        <f>Cronograma!S42</f>
        <v>18099.087750000006</v>
      </c>
      <c r="P6" s="47">
        <f>Cronograma!T42</f>
        <v>3232895.333090452</v>
      </c>
    </row>
    <row r="7" spans="1:16" ht="15" customHeight="1" x14ac:dyDescent="0.2">
      <c r="A7" s="48" t="str">
        <f>Cronograma!C43</f>
        <v>Abril</v>
      </c>
      <c r="B7" s="49">
        <f>Cronograma!D43</f>
        <v>0</v>
      </c>
      <c r="C7" s="10">
        <f>Cronograma!G43</f>
        <v>0</v>
      </c>
      <c r="D7" s="10">
        <f>Cronograma!H43</f>
        <v>61875.000000000007</v>
      </c>
      <c r="E7" s="46">
        <f>Cronograma!I43</f>
        <v>61875.000000000007</v>
      </c>
      <c r="F7" s="10">
        <f>Cronograma!E43</f>
        <v>8333</v>
      </c>
      <c r="G7" s="10">
        <f>Cronograma!J43</f>
        <v>0</v>
      </c>
      <c r="H7" s="10">
        <f>Cronograma!F43+Cronograma!K43</f>
        <v>17312.5</v>
      </c>
      <c r="I7" s="10">
        <f>Cronograma!L43</f>
        <v>769.36500000000001</v>
      </c>
      <c r="J7" s="50">
        <f>Cronograma!M43</f>
        <v>26414.865000000002</v>
      </c>
      <c r="K7" s="50">
        <f>Cronograma!N43</f>
        <v>35460.135000000009</v>
      </c>
      <c r="L7" s="10">
        <f>Cronograma!O43</f>
        <v>12411.047250000003</v>
      </c>
      <c r="M7" s="10">
        <f>Cronograma!Q43</f>
        <v>4950.0000000000009</v>
      </c>
      <c r="N7" s="10">
        <f>Cronograma!R43</f>
        <v>0</v>
      </c>
      <c r="O7" s="50">
        <f>Cronograma!S43</f>
        <v>18099.087750000006</v>
      </c>
      <c r="P7" s="50">
        <f>Cronograma!T43</f>
        <v>3250994.420840452</v>
      </c>
    </row>
    <row r="8" spans="1:16" ht="15" customHeight="1" x14ac:dyDescent="0.2">
      <c r="A8" s="44" t="str">
        <f>Cronograma!C44</f>
        <v>Maio</v>
      </c>
      <c r="B8" s="45">
        <f>Cronograma!D44</f>
        <v>0</v>
      </c>
      <c r="C8" s="8">
        <f>Cronograma!G44</f>
        <v>0</v>
      </c>
      <c r="D8" s="8">
        <f>Cronograma!H44</f>
        <v>61875.000000000007</v>
      </c>
      <c r="E8" s="46">
        <f>Cronograma!I44</f>
        <v>61875.000000000007</v>
      </c>
      <c r="F8" s="8">
        <f>Cronograma!E44</f>
        <v>8333</v>
      </c>
      <c r="G8" s="8">
        <f>Cronograma!J44</f>
        <v>0</v>
      </c>
      <c r="H8" s="8">
        <f>Cronograma!F44+Cronograma!K44</f>
        <v>17312.5</v>
      </c>
      <c r="I8" s="8">
        <f>Cronograma!L44</f>
        <v>769.36500000000001</v>
      </c>
      <c r="J8" s="47">
        <f>Cronograma!M44</f>
        <v>26414.865000000002</v>
      </c>
      <c r="K8" s="47">
        <f>Cronograma!N44</f>
        <v>35460.135000000009</v>
      </c>
      <c r="L8" s="8">
        <f>Cronograma!O44</f>
        <v>12411.047250000003</v>
      </c>
      <c r="M8" s="8">
        <f>Cronograma!Q44</f>
        <v>4950.0000000000009</v>
      </c>
      <c r="N8" s="8">
        <f>Cronograma!R44</f>
        <v>0</v>
      </c>
      <c r="O8" s="47">
        <f>Cronograma!S44</f>
        <v>18099.087750000006</v>
      </c>
      <c r="P8" s="47">
        <f>Cronograma!T44</f>
        <v>3269093.5085904519</v>
      </c>
    </row>
    <row r="9" spans="1:16" ht="15" customHeight="1" x14ac:dyDescent="0.2">
      <c r="A9" s="48" t="str">
        <f>Cronograma!C45</f>
        <v>Junho</v>
      </c>
      <c r="B9" s="49">
        <f>Cronograma!D45</f>
        <v>0</v>
      </c>
      <c r="C9" s="10">
        <f>Cronograma!G45</f>
        <v>0</v>
      </c>
      <c r="D9" s="10">
        <f>Cronograma!H45</f>
        <v>61875.000000000007</v>
      </c>
      <c r="E9" s="46">
        <f>Cronograma!I45</f>
        <v>61875.000000000007</v>
      </c>
      <c r="F9" s="10">
        <f>Cronograma!E45</f>
        <v>8333</v>
      </c>
      <c r="G9" s="10">
        <f>Cronograma!J45</f>
        <v>0</v>
      </c>
      <c r="H9" s="10">
        <f>Cronograma!F45+Cronograma!K45</f>
        <v>17312.5</v>
      </c>
      <c r="I9" s="10">
        <f>Cronograma!L45</f>
        <v>769.36500000000001</v>
      </c>
      <c r="J9" s="50">
        <f>Cronograma!M45</f>
        <v>26414.865000000002</v>
      </c>
      <c r="K9" s="50">
        <f>Cronograma!N45</f>
        <v>35460.135000000009</v>
      </c>
      <c r="L9" s="10">
        <f>Cronograma!O45</f>
        <v>12411.047250000003</v>
      </c>
      <c r="M9" s="10">
        <f>Cronograma!Q45</f>
        <v>4950.0000000000009</v>
      </c>
      <c r="N9" s="10">
        <f>Cronograma!R45</f>
        <v>0</v>
      </c>
      <c r="O9" s="50">
        <f>Cronograma!S45</f>
        <v>18099.087750000006</v>
      </c>
      <c r="P9" s="50">
        <f>Cronograma!T45</f>
        <v>3287192.5963404519</v>
      </c>
    </row>
    <row r="10" spans="1:16" ht="15" customHeight="1" x14ac:dyDescent="0.2">
      <c r="A10" s="44" t="str">
        <f>Cronograma!C46</f>
        <v>Julho</v>
      </c>
      <c r="B10" s="45">
        <f>Cronograma!D46</f>
        <v>0</v>
      </c>
      <c r="C10" s="8">
        <f>Cronograma!G46</f>
        <v>0</v>
      </c>
      <c r="D10" s="8">
        <f>Cronograma!H46</f>
        <v>61875.000000000007</v>
      </c>
      <c r="E10" s="46">
        <f>Cronograma!I46</f>
        <v>61875.000000000007</v>
      </c>
      <c r="F10" s="8">
        <f>Cronograma!E46</f>
        <v>8333</v>
      </c>
      <c r="G10" s="8">
        <f>Cronograma!J46</f>
        <v>0</v>
      </c>
      <c r="H10" s="8">
        <f>Cronograma!F46+Cronograma!K46</f>
        <v>17312.5</v>
      </c>
      <c r="I10" s="8">
        <f>Cronograma!L46</f>
        <v>769.36500000000001</v>
      </c>
      <c r="J10" s="47">
        <f>Cronograma!M46</f>
        <v>26414.865000000002</v>
      </c>
      <c r="K10" s="47">
        <f>Cronograma!N46</f>
        <v>35460.135000000009</v>
      </c>
      <c r="L10" s="8">
        <f>Cronograma!O46</f>
        <v>12411.047250000003</v>
      </c>
      <c r="M10" s="8">
        <f>Cronograma!Q46</f>
        <v>4950.0000000000009</v>
      </c>
      <c r="N10" s="8">
        <f>Cronograma!R46</f>
        <v>0</v>
      </c>
      <c r="O10" s="47">
        <f>Cronograma!S46</f>
        <v>18099.087750000006</v>
      </c>
      <c r="P10" s="47">
        <f>Cronograma!T46</f>
        <v>3305291.6840904518</v>
      </c>
    </row>
    <row r="11" spans="1:16" ht="15" customHeight="1" x14ac:dyDescent="0.2">
      <c r="A11" s="48" t="str">
        <f>Cronograma!C47</f>
        <v>Agosto</v>
      </c>
      <c r="B11" s="49">
        <f>Cronograma!D47</f>
        <v>0</v>
      </c>
      <c r="C11" s="10">
        <f>Cronograma!G47</f>
        <v>0</v>
      </c>
      <c r="D11" s="10">
        <f>Cronograma!H47</f>
        <v>61875.000000000007</v>
      </c>
      <c r="E11" s="46">
        <f>Cronograma!I47</f>
        <v>61875.000000000007</v>
      </c>
      <c r="F11" s="10">
        <f>Cronograma!E47</f>
        <v>8333</v>
      </c>
      <c r="G11" s="10">
        <f>Cronograma!J47</f>
        <v>0</v>
      </c>
      <c r="H11" s="10">
        <f>Cronograma!F47+Cronograma!K47</f>
        <v>17312.5</v>
      </c>
      <c r="I11" s="10">
        <f>Cronograma!L47</f>
        <v>769.36500000000001</v>
      </c>
      <c r="J11" s="50">
        <f>Cronograma!M47</f>
        <v>26414.865000000002</v>
      </c>
      <c r="K11" s="50">
        <f>Cronograma!N47</f>
        <v>35460.135000000009</v>
      </c>
      <c r="L11" s="10">
        <f>Cronograma!O47</f>
        <v>12411.047250000003</v>
      </c>
      <c r="M11" s="10">
        <f>Cronograma!Q47</f>
        <v>4950.0000000000009</v>
      </c>
      <c r="N11" s="10">
        <f>Cronograma!R47</f>
        <v>0</v>
      </c>
      <c r="O11" s="50">
        <f>Cronograma!S47</f>
        <v>18099.087750000006</v>
      </c>
      <c r="P11" s="50">
        <f>Cronograma!T47</f>
        <v>3323390.7718404518</v>
      </c>
    </row>
    <row r="12" spans="1:16" ht="15" customHeight="1" x14ac:dyDescent="0.2">
      <c r="A12" s="44" t="str">
        <f>Cronograma!C48</f>
        <v>Setembro</v>
      </c>
      <c r="B12" s="45">
        <f>Cronograma!D48</f>
        <v>0</v>
      </c>
      <c r="C12" s="8">
        <f>Cronograma!G48</f>
        <v>0</v>
      </c>
      <c r="D12" s="8">
        <f>Cronograma!H48</f>
        <v>61875.000000000007</v>
      </c>
      <c r="E12" s="46">
        <f>Cronograma!I48</f>
        <v>61875.000000000007</v>
      </c>
      <c r="F12" s="8">
        <f>Cronograma!E48</f>
        <v>8333</v>
      </c>
      <c r="G12" s="8">
        <f>Cronograma!J48</f>
        <v>0</v>
      </c>
      <c r="H12" s="8">
        <f>Cronograma!F48+Cronograma!K48</f>
        <v>17312.5</v>
      </c>
      <c r="I12" s="8">
        <f>Cronograma!L48</f>
        <v>769.36500000000001</v>
      </c>
      <c r="J12" s="47">
        <f>Cronograma!M48</f>
        <v>26414.865000000002</v>
      </c>
      <c r="K12" s="47">
        <f>Cronograma!N48</f>
        <v>35460.135000000009</v>
      </c>
      <c r="L12" s="8">
        <f>Cronograma!O48</f>
        <v>12411.047250000003</v>
      </c>
      <c r="M12" s="8">
        <f>Cronograma!Q48</f>
        <v>4950.0000000000009</v>
      </c>
      <c r="N12" s="8">
        <f>Cronograma!R48</f>
        <v>0</v>
      </c>
      <c r="O12" s="47">
        <f>Cronograma!S48</f>
        <v>18099.087750000006</v>
      </c>
      <c r="P12" s="47">
        <f>Cronograma!T48</f>
        <v>3341489.8595904517</v>
      </c>
    </row>
    <row r="13" spans="1:16" ht="15" customHeight="1" x14ac:dyDescent="0.2">
      <c r="A13" s="48" t="str">
        <f>Cronograma!C49</f>
        <v>Outubro</v>
      </c>
      <c r="B13" s="49">
        <f>Cronograma!D49</f>
        <v>0</v>
      </c>
      <c r="C13" s="10">
        <f>Cronograma!G49</f>
        <v>0</v>
      </c>
      <c r="D13" s="10">
        <f>Cronograma!H49</f>
        <v>61875.000000000007</v>
      </c>
      <c r="E13" s="46">
        <f>Cronograma!I49</f>
        <v>61875.000000000007</v>
      </c>
      <c r="F13" s="10">
        <f>Cronograma!E49</f>
        <v>8333</v>
      </c>
      <c r="G13" s="10">
        <f>Cronograma!J49</f>
        <v>0</v>
      </c>
      <c r="H13" s="10">
        <f>Cronograma!F49+Cronograma!K49</f>
        <v>17312.5</v>
      </c>
      <c r="I13" s="10">
        <f>Cronograma!L49</f>
        <v>769.36500000000001</v>
      </c>
      <c r="J13" s="50">
        <f>Cronograma!M49</f>
        <v>26414.865000000002</v>
      </c>
      <c r="K13" s="50">
        <f>Cronograma!N49</f>
        <v>35460.135000000009</v>
      </c>
      <c r="L13" s="10">
        <f>Cronograma!O49</f>
        <v>12411.047250000003</v>
      </c>
      <c r="M13" s="10">
        <f>Cronograma!Q49</f>
        <v>4950.0000000000009</v>
      </c>
      <c r="N13" s="10">
        <f>Cronograma!R49</f>
        <v>0</v>
      </c>
      <c r="O13" s="50">
        <f>Cronograma!S49</f>
        <v>18099.087750000006</v>
      </c>
      <c r="P13" s="50">
        <f>Cronograma!T49</f>
        <v>3359588.9473404516</v>
      </c>
    </row>
    <row r="14" spans="1:16" ht="15" customHeight="1" x14ac:dyDescent="0.2">
      <c r="A14" s="44" t="str">
        <f>Cronograma!C50</f>
        <v>Novembro</v>
      </c>
      <c r="B14" s="45">
        <f>Cronograma!D50</f>
        <v>0</v>
      </c>
      <c r="C14" s="8">
        <f>Cronograma!G50</f>
        <v>0</v>
      </c>
      <c r="D14" s="8">
        <f>Cronograma!H50</f>
        <v>61875.000000000007</v>
      </c>
      <c r="E14" s="46">
        <f>Cronograma!I50</f>
        <v>61875.000000000007</v>
      </c>
      <c r="F14" s="8">
        <f>Cronograma!E50</f>
        <v>8333</v>
      </c>
      <c r="G14" s="8">
        <f>Cronograma!J50</f>
        <v>0</v>
      </c>
      <c r="H14" s="8">
        <f>Cronograma!F50+Cronograma!K50</f>
        <v>17312.5</v>
      </c>
      <c r="I14" s="8">
        <f>Cronograma!L50</f>
        <v>769.36500000000001</v>
      </c>
      <c r="J14" s="47">
        <f>Cronograma!M50</f>
        <v>26414.865000000002</v>
      </c>
      <c r="K14" s="47">
        <f>Cronograma!N50</f>
        <v>35460.135000000009</v>
      </c>
      <c r="L14" s="8">
        <f>Cronograma!O50</f>
        <v>12411.047250000003</v>
      </c>
      <c r="M14" s="8">
        <f>Cronograma!Q50</f>
        <v>4950.0000000000009</v>
      </c>
      <c r="N14" s="8">
        <f>Cronograma!R50</f>
        <v>0</v>
      </c>
      <c r="O14" s="47">
        <f>Cronograma!S50</f>
        <v>18099.087750000006</v>
      </c>
      <c r="P14" s="47">
        <f>Cronograma!T50</f>
        <v>3377688.0350904516</v>
      </c>
    </row>
    <row r="15" spans="1:16" ht="15" customHeight="1" x14ac:dyDescent="0.2">
      <c r="A15" s="48" t="str">
        <f>Cronograma!C51</f>
        <v>Dezembro</v>
      </c>
      <c r="B15" s="49">
        <f>Cronograma!D51</f>
        <v>0</v>
      </c>
      <c r="C15" s="10">
        <f>Cronograma!G51</f>
        <v>0</v>
      </c>
      <c r="D15" s="10">
        <f>Cronograma!H51</f>
        <v>61875.000000000007</v>
      </c>
      <c r="E15" s="46">
        <f>Cronograma!I51</f>
        <v>61875.000000000007</v>
      </c>
      <c r="F15" s="10">
        <f>Cronograma!E51</f>
        <v>8333</v>
      </c>
      <c r="G15" s="10">
        <f>Cronograma!J51</f>
        <v>0</v>
      </c>
      <c r="H15" s="10">
        <f>Cronograma!F51+Cronograma!K51</f>
        <v>17312.5</v>
      </c>
      <c r="I15" s="10">
        <f>Cronograma!L51</f>
        <v>769.36500000000001</v>
      </c>
      <c r="J15" s="50">
        <f>Cronograma!M51</f>
        <v>26414.865000000002</v>
      </c>
      <c r="K15" s="50">
        <f>Cronograma!N51</f>
        <v>35460.135000000009</v>
      </c>
      <c r="L15" s="10">
        <f>Cronograma!O51</f>
        <v>12411.047250000003</v>
      </c>
      <c r="M15" s="10">
        <f>Cronograma!Q51</f>
        <v>4950.0000000000009</v>
      </c>
      <c r="N15" s="10">
        <f>Cronograma!R51</f>
        <v>0</v>
      </c>
      <c r="O15" s="50">
        <f>Cronograma!S51</f>
        <v>18099.087750000006</v>
      </c>
      <c r="P15" s="50">
        <f>Cronograma!T51</f>
        <v>3395787.1228404515</v>
      </c>
    </row>
    <row r="16" spans="1:16" ht="18" customHeight="1" x14ac:dyDescent="0.2">
      <c r="A16" s="51" t="s">
        <v>133</v>
      </c>
      <c r="B16" s="52">
        <f t="shared" ref="B16:O16" si="0">SUM(B4:B15)</f>
        <v>0</v>
      </c>
      <c r="C16" s="53">
        <f t="shared" si="0"/>
        <v>0</v>
      </c>
      <c r="D16" s="53">
        <f t="shared" si="0"/>
        <v>742500.00000000012</v>
      </c>
      <c r="E16" s="53">
        <f t="shared" si="0"/>
        <v>742500.00000000012</v>
      </c>
      <c r="F16" s="53">
        <f t="shared" si="0"/>
        <v>99996</v>
      </c>
      <c r="G16" s="53">
        <f t="shared" si="0"/>
        <v>0</v>
      </c>
      <c r="H16" s="53">
        <f t="shared" si="0"/>
        <v>207750</v>
      </c>
      <c r="I16" s="53">
        <f t="shared" si="0"/>
        <v>9232.3799999999992</v>
      </c>
      <c r="J16" s="53">
        <f t="shared" si="0"/>
        <v>316978.37999999995</v>
      </c>
      <c r="K16" s="53">
        <f t="shared" si="0"/>
        <v>425521.62000000011</v>
      </c>
      <c r="L16" s="53">
        <f t="shared" si="0"/>
        <v>148932.56700000004</v>
      </c>
      <c r="M16" s="53">
        <f t="shared" si="0"/>
        <v>59400.000000000007</v>
      </c>
      <c r="N16" s="53">
        <f t="shared" si="0"/>
        <v>0</v>
      </c>
      <c r="O16" s="53">
        <f t="shared" si="0"/>
        <v>217189.05300000007</v>
      </c>
      <c r="P16" s="53">
        <f>Cronograma!T51</f>
        <v>3395787.1228404515</v>
      </c>
    </row>
    <row r="18" spans="1:16" ht="22" customHeight="1" x14ac:dyDescent="0.2">
      <c r="A18" s="70" t="s">
        <v>127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</sheetData>
  <mergeCells count="3">
    <mergeCell ref="A1:P1"/>
    <mergeCell ref="A18:P18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 Anual</vt:lpstr>
      <vt:lpstr>Parâmetros</vt:lpstr>
      <vt:lpstr>Cronograma</vt:lpstr>
      <vt:lpstr>Ano 1</vt:lpstr>
      <vt:lpstr>Ano 2</vt:lpstr>
      <vt:lpstr>Ano 3</vt:lpstr>
      <vt:lpstr>Ano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Forx</cp:lastModifiedBy>
  <dcterms:created xsi:type="dcterms:W3CDTF">2026-04-13T21:28:28Z</dcterms:created>
  <dcterms:modified xsi:type="dcterms:W3CDTF">2026-07-13T18:57:41Z</dcterms:modified>
</cp:coreProperties>
</file>