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Anual" sheetId="1" state="visible" r:id="rId1"/>
    <sheet name="Parâmetros" sheetId="2" state="visible" r:id="rId2"/>
    <sheet name="Cronograma" sheetId="3" state="visible" r:id="rId3"/>
    <sheet name="Ano 1" sheetId="4" state="visible" r:id="rId4"/>
    <sheet name="Ano 2" sheetId="5" state="visible" r:id="rId5"/>
    <sheet name="Ano 3" sheetId="6" state="visible" r:id="rId6"/>
    <sheet name="Ano 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"/>
    <numFmt numFmtId="165" formatCode="0.0%"/>
    <numFmt numFmtId="166" formatCode="R$ #,##0.00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7D6608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i val="1"/>
      <color rgb="00595959"/>
      <sz val="9"/>
    </font>
    <font>
      <name val="Calibri"/>
      <color rgb="00595959"/>
      <sz val="9"/>
    </font>
    <font>
      <name val="Calibri"/>
      <i val="1"/>
      <color rgb="001F4E79"/>
      <sz val="9"/>
    </font>
    <font>
      <name val="Calibri"/>
      <b val="1"/>
      <color rgb="00FFFFFF"/>
      <sz val="11"/>
    </font>
    <font>
      <name val="Calibri"/>
      <b val="1"/>
      <color rgb="00FFFFFF"/>
      <sz val="8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i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b val="1"/>
      <color rgb="001F4E79"/>
      <sz val="9"/>
    </font>
    <font>
      <name val="Calibri"/>
      <i val="1"/>
      <color rgb="007D6608"/>
      <sz val="8"/>
    </font>
    <font>
      <name val="Calibri"/>
      <b val="1"/>
      <color rgb="00FFFFFF"/>
      <sz val="13"/>
    </font>
    <font>
      <name val="Calibri"/>
      <b val="1"/>
      <color rgb="001A5276"/>
      <sz val="9"/>
    </font>
    <font>
      <name val="Calibri"/>
      <b val="1"/>
      <color rgb="001F4E79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1A5276"/>
      </patternFill>
    </fill>
    <fill>
      <patternFill patternType="solid">
        <fgColor rgb="00117A65"/>
      </patternFill>
    </fill>
    <fill>
      <patternFill patternType="solid">
        <fgColor rgb="00C0392B"/>
      </patternFill>
    </fill>
    <fill>
      <patternFill patternType="solid">
        <fgColor rgb="00FCE4D6"/>
      </patternFill>
    </fill>
    <fill>
      <patternFill patternType="solid">
        <fgColor rgb="00D5E8D4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9" fillId="2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right" vertical="center"/>
    </xf>
    <xf numFmtId="3" fontId="12" fillId="5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/>
    </xf>
    <xf numFmtId="164" fontId="15" fillId="4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right" vertical="center"/>
    </xf>
    <xf numFmtId="164" fontId="15" fillId="5" borderId="1" applyAlignment="1" pivotButton="0" quotePrefix="0" xfId="0">
      <alignment horizontal="right" vertical="center"/>
    </xf>
    <xf numFmtId="164" fontId="12" fillId="5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left" vertical="center"/>
    </xf>
    <xf numFmtId="164" fontId="16" fillId="11" borderId="1" applyAlignment="1" pivotButton="0" quotePrefix="0" xfId="0">
      <alignment horizontal="right" vertical="center"/>
    </xf>
    <xf numFmtId="164" fontId="20" fillId="11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left" vertical="center"/>
    </xf>
    <xf numFmtId="164" fontId="21" fillId="6" borderId="1" applyAlignment="1" pivotButton="0" quotePrefix="0" xfId="0">
      <alignment horizontal="right" vertical="center"/>
    </xf>
    <xf numFmtId="3" fontId="21" fillId="6" borderId="1" applyAlignment="1" pivotButton="0" quotePrefix="0" xfId="0">
      <alignment horizontal="right" vertical="center"/>
    </xf>
    <xf numFmtId="165" fontId="21" fillId="6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166" fontId="4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/>
    </xf>
    <xf numFmtId="3" fontId="11" fillId="5" borderId="1" applyAlignment="1" pivotButton="0" quotePrefix="0" xfId="0">
      <alignment horizontal="center" vertical="center"/>
    </xf>
    <xf numFmtId="164" fontId="11" fillId="3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right" vertical="center"/>
    </xf>
    <xf numFmtId="164" fontId="12" fillId="5" borderId="1" applyAlignment="1" pivotButton="0" quotePrefix="0" xfId="0">
      <alignment horizontal="right" vertical="center"/>
    </xf>
    <xf numFmtId="164" fontId="12" fillId="10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3" fontId="11" fillId="4" borderId="1" applyAlignment="1" pivotButton="0" quotePrefix="0" xfId="0">
      <alignment horizontal="center" vertical="center"/>
    </xf>
    <xf numFmtId="164" fontId="11" fillId="4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right" vertical="center"/>
    </xf>
    <xf numFmtId="3" fontId="12" fillId="3" borderId="1" applyAlignment="1" pivotButton="0" quotePrefix="0" xfId="0">
      <alignment horizontal="center" vertical="center"/>
    </xf>
    <xf numFmtId="164" fontId="12" fillId="11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/>
    </xf>
    <xf numFmtId="3" fontId="12" fillId="6" borderId="2" applyAlignment="1" pivotButton="0" quotePrefix="0" xfId="0">
      <alignment horizontal="right" vertical="center"/>
    </xf>
    <xf numFmtId="164" fontId="12" fillId="6" borderId="2" applyAlignment="1" pivotButton="0" quotePrefix="0" xfId="0">
      <alignment horizontal="right" vertical="center"/>
    </xf>
    <xf numFmtId="0" fontId="14" fillId="12" borderId="0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/>
    </xf>
    <xf numFmtId="3" fontId="15" fillId="4" borderId="1" applyAlignment="1" pivotButton="0" quotePrefix="0" xfId="0">
      <alignment horizontal="center" vertical="center"/>
    </xf>
    <xf numFmtId="164" fontId="16" fillId="6" borderId="1" applyAlignment="1" pivotButton="0" quotePrefix="0" xfId="0">
      <alignment horizontal="right" vertical="center"/>
    </xf>
    <xf numFmtId="164" fontId="16" fillId="4" borderId="1" applyAlignment="1" pivotButton="0" quotePrefix="0" xfId="0">
      <alignment horizontal="right" vertical="center"/>
    </xf>
    <xf numFmtId="0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164" fontId="16" fillId="5" borderId="1" applyAlignment="1" pivotButton="0" quotePrefix="0" xfId="0">
      <alignment horizontal="right" vertical="center"/>
    </xf>
    <xf numFmtId="0" fontId="13" fillId="2" borderId="2" applyAlignment="1" pivotButton="0" quotePrefix="0" xfId="0">
      <alignment horizontal="left" vertical="center"/>
    </xf>
    <xf numFmtId="3" fontId="17" fillId="6" borderId="2" applyAlignment="1" pivotButton="0" quotePrefix="0" xfId="0">
      <alignment horizontal="center" vertical="center"/>
    </xf>
    <xf numFmtId="164" fontId="17" fillId="6" borderId="2" applyAlignment="1" pivotButton="0" quotePrefix="0" xfId="0">
      <alignment horizontal="right" vertical="center"/>
    </xf>
    <xf numFmtId="0" fontId="18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RESUMO ANUAL — FLUXO DE CAIXA — LOTEAMENTO PAPAGAIOS/MG</t>
        </is>
      </c>
    </row>
    <row r="2" ht="18" customHeight="1">
      <c r="A2" s="2" t="inlineStr">
        <is>
          <t>INDICADOR</t>
        </is>
      </c>
      <c r="B2" s="3" t="inlineStr">
        <is>
          <t>ANO 1</t>
        </is>
      </c>
      <c r="C2" s="3" t="inlineStr">
        <is>
          <t>ANO 2</t>
        </is>
      </c>
      <c r="D2" s="3" t="inlineStr">
        <is>
          <t>ANO 3</t>
        </is>
      </c>
      <c r="E2" s="3" t="inlineStr">
        <is>
          <t>ANO 4</t>
        </is>
      </c>
      <c r="F2" s="4" t="inlineStr">
        <is>
          <t>TOTAL 4 ANOS</t>
        </is>
      </c>
    </row>
    <row r="3" ht="16" customHeight="1">
      <c r="A3" s="5" t="inlineStr">
        <is>
          <t>Lotes vendidos</t>
        </is>
      </c>
      <c r="B3" s="6">
        <f>SUMIF(Cronograma!$B$4:Cronograma!$B$51,1,Cronograma!$D$4:Cronograma!$D$51)</f>
        <v/>
      </c>
      <c r="C3" s="6">
        <f>SUMIF(Cronograma!$B$4:Cronograma!$B$51,2,Cronograma!$D$4:Cronograma!$D$51)</f>
        <v/>
      </c>
      <c r="D3" s="6">
        <f>SUMIF(Cronograma!$B$4:Cronograma!$B$51,3,Cronograma!$D$4:Cronograma!$D$51)</f>
        <v/>
      </c>
      <c r="E3" s="6">
        <f>SUMIF(Cronograma!$B$4:Cronograma!$B$51,4,Cronograma!$D$4:Cronograma!$D$51)</f>
        <v/>
      </c>
      <c r="F3" s="7">
        <f>B3+C3+D3+E3</f>
        <v/>
      </c>
    </row>
    <row r="4" ht="16" customHeight="1">
      <c r="A4" s="8" t="inlineStr">
        <is>
          <t>Receita à vista</t>
        </is>
      </c>
      <c r="B4" s="9">
        <f>SUMIF(Cronograma!$B$4:Cronograma!$B$51,1,Cronograma!$G$4:Cronograma!$G$51)</f>
        <v/>
      </c>
      <c r="C4" s="9">
        <f>SUMIF(Cronograma!$B$4:Cronograma!$B$51,2,Cronograma!$G$4:Cronograma!$G$51)</f>
        <v/>
      </c>
      <c r="D4" s="9">
        <f>SUMIF(Cronograma!$B$4:Cronograma!$B$51,3,Cronograma!$G$4:Cronograma!$G$51)</f>
        <v/>
      </c>
      <c r="E4" s="9">
        <f>SUMIF(Cronograma!$B$4:Cronograma!$B$51,4,Cronograma!$G$4:Cronograma!$G$51)</f>
        <v/>
      </c>
      <c r="F4" s="10">
        <f>B4+C4+D4+E4</f>
        <v/>
      </c>
    </row>
    <row r="5" ht="16" customHeight="1">
      <c r="A5" s="5" t="inlineStr">
        <is>
          <t>Parcelas recebidas</t>
        </is>
      </c>
      <c r="B5" s="11">
        <f>SUMIF(Cronograma!$B$4:Cronograma!$B$51,1,Cronograma!$H$4:Cronograma!$H$51)</f>
        <v/>
      </c>
      <c r="C5" s="11">
        <f>SUMIF(Cronograma!$B$4:Cronograma!$B$51,2,Cronograma!$H$4:Cronograma!$H$51)</f>
        <v/>
      </c>
      <c r="D5" s="11">
        <f>SUMIF(Cronograma!$B$4:Cronograma!$B$51,3,Cronograma!$H$4:Cronograma!$H$51)</f>
        <v/>
      </c>
      <c r="E5" s="11">
        <f>SUMIF(Cronograma!$B$4:Cronograma!$B$51,4,Cronograma!$H$4:Cronograma!$H$51)</f>
        <v/>
      </c>
      <c r="F5" s="12">
        <f>B5+C5+D5+E5</f>
        <v/>
      </c>
    </row>
    <row r="6" ht="16" customHeight="1">
      <c r="A6" s="13" t="inlineStr">
        <is>
          <t>TOTAL RECEITA</t>
        </is>
      </c>
      <c r="B6" s="14">
        <f>SUMIF(Cronograma!$B$4:Cronograma!$B$51,1,Cronograma!$I$4:Cronograma!$I$51)</f>
        <v/>
      </c>
      <c r="C6" s="14">
        <f>SUMIF(Cronograma!$B$4:Cronograma!$B$51,2,Cronograma!$I$4:Cronograma!$I$51)</f>
        <v/>
      </c>
      <c r="D6" s="14">
        <f>SUMIF(Cronograma!$B$4:Cronograma!$B$51,3,Cronograma!$I$4:Cronograma!$I$51)</f>
        <v/>
      </c>
      <c r="E6" s="14">
        <f>SUMIF(Cronograma!$B$4:Cronograma!$B$51,4,Cronograma!$I$4:Cronograma!$I$51)</f>
        <v/>
      </c>
      <c r="F6" s="15">
        <f>B6+C6+D6+E6</f>
        <v/>
      </c>
    </row>
    <row r="7" ht="16" customHeight="1">
      <c r="A7" s="5" t="inlineStr">
        <is>
          <t>(-) Infraestrutura</t>
        </is>
      </c>
      <c r="B7" s="11">
        <f>SUMIF(Cronograma!$B$4:Cronograma!$B$51,1,Cronograma!$E$4:Cronograma!$E$51)</f>
        <v/>
      </c>
      <c r="C7" s="11">
        <f>SUMIF(Cronograma!$B$4:Cronograma!$B$51,2,Cronograma!$E$4:Cronograma!$E$51)</f>
        <v/>
      </c>
      <c r="D7" s="11">
        <f>SUMIF(Cronograma!$B$4:Cronograma!$B$51,3,Cronograma!$E$4:Cronograma!$E$51)</f>
        <v/>
      </c>
      <c r="E7" s="11">
        <f>SUMIF(Cronograma!$B$4:Cronograma!$B$51,4,Cronograma!$E$4:Cronograma!$E$51)</f>
        <v/>
      </c>
      <c r="F7" s="12">
        <f>B7+C7+D7+E7</f>
        <v/>
      </c>
    </row>
    <row r="8" ht="16" customHeight="1">
      <c r="A8" s="8" t="inlineStr">
        <is>
          <t>(-) Corretagem</t>
        </is>
      </c>
      <c r="B8" s="9">
        <f>SUMIF(Cronograma!$B$4:Cronograma!$B$51,1,Cronograma!$J$4:Cronograma!$J$51)</f>
        <v/>
      </c>
      <c r="C8" s="9">
        <f>SUMIF(Cronograma!$B$4:Cronograma!$B$51,2,Cronograma!$J$4:Cronograma!$J$51)</f>
        <v/>
      </c>
      <c r="D8" s="9">
        <f>SUMIF(Cronograma!$B$4:Cronograma!$B$51,3,Cronograma!$J$4:Cronograma!$J$51)</f>
        <v/>
      </c>
      <c r="E8" s="9">
        <f>SUMIF(Cronograma!$B$4:Cronograma!$B$51,4,Cronograma!$J$4:Cronograma!$J$51)</f>
        <v/>
      </c>
      <c r="F8" s="10">
        <f>B8+C8+D8+E8</f>
        <v/>
      </c>
    </row>
    <row r="9" ht="16" customHeight="1">
      <c r="A9" s="5" t="inlineStr">
        <is>
          <t>(-) Admin &amp; Marketing</t>
        </is>
      </c>
      <c r="B9" s="11">
        <f>SUMIF(Cronograma!$B$4:Cronograma!$B$51,1,Cronograma!$F$4:Cronograma!$F$51)+SUMIF(Cronograma!$B$4:Cronograma!$B$51,1,Cronograma!$K$4:Cronograma!$K$51)</f>
        <v/>
      </c>
      <c r="C9" s="11">
        <f>SUMIF(Cronograma!$B$4:Cronograma!$B$51,2,Cronograma!$F$4:Cronograma!$F$51)+SUMIF(Cronograma!$B$4:Cronograma!$B$51,2,Cronograma!$K$4:Cronograma!$K$51)</f>
        <v/>
      </c>
      <c r="D9" s="11">
        <f>SUMIF(Cronograma!$B$4:Cronograma!$B$51,3,Cronograma!$F$4:Cronograma!$F$51)+SUMIF(Cronograma!$B$4:Cronograma!$B$51,3,Cronograma!$K$4:Cronograma!$K$51)</f>
        <v/>
      </c>
      <c r="E9" s="11">
        <f>SUMIF(Cronograma!$B$4:Cronograma!$B$51,4,Cronograma!$F$4:Cronograma!$F$51)+SUMIF(Cronograma!$B$4:Cronograma!$B$51,4,Cronograma!$K$4:Cronograma!$K$51)</f>
        <v/>
      </c>
      <c r="F9" s="12">
        <f>B9+C9+D9+E9</f>
        <v/>
      </c>
    </row>
    <row r="10" ht="16" customHeight="1">
      <c r="A10" s="8" t="inlineStr">
        <is>
          <t>(-) Contingência</t>
        </is>
      </c>
      <c r="B10" s="9">
        <f>SUMIF(Cronograma!$B$4:Cronograma!$B$51,1,Cronograma!$L$4:Cronograma!$L$51)</f>
        <v/>
      </c>
      <c r="C10" s="9">
        <f>SUMIF(Cronograma!$B$4:Cronograma!$B$51,2,Cronograma!$L$4:Cronograma!$L$51)</f>
        <v/>
      </c>
      <c r="D10" s="9">
        <f>SUMIF(Cronograma!$B$4:Cronograma!$B$51,3,Cronograma!$L$4:Cronograma!$L$51)</f>
        <v/>
      </c>
      <c r="E10" s="9">
        <f>SUMIF(Cronograma!$B$4:Cronograma!$B$51,4,Cronograma!$L$4:Cronograma!$L$51)</f>
        <v/>
      </c>
      <c r="F10" s="10">
        <f>B10+C10+D10+E10</f>
        <v/>
      </c>
    </row>
    <row r="11" ht="16" customHeight="1">
      <c r="A11" s="16" t="inlineStr">
        <is>
          <t>TOTAL CUSTOS</t>
        </is>
      </c>
      <c r="B11" s="14">
        <f>SUMIF(Cronograma!$B$4:Cronograma!$B$51,1,Cronograma!$M$4:Cronograma!$M$51)</f>
        <v/>
      </c>
      <c r="C11" s="14">
        <f>SUMIF(Cronograma!$B$4:Cronograma!$B$51,2,Cronograma!$M$4:Cronograma!$M$51)</f>
        <v/>
      </c>
      <c r="D11" s="14">
        <f>SUMIF(Cronograma!$B$4:Cronograma!$B$51,3,Cronograma!$M$4:Cronograma!$M$51)</f>
        <v/>
      </c>
      <c r="E11" s="14">
        <f>SUMIF(Cronograma!$B$4:Cronograma!$B$51,4,Cronograma!$M$4:Cronograma!$M$51)</f>
        <v/>
      </c>
      <c r="F11" s="15">
        <f>B11+C11+D11+E11</f>
        <v/>
      </c>
    </row>
    <row r="12" ht="16" customHeight="1">
      <c r="A12" s="13" t="inlineStr">
        <is>
          <t>Resultado Bruto</t>
        </is>
      </c>
      <c r="B12" s="14">
        <f>SUMIF(Cronograma!$B$4:Cronograma!$B$51,1,Cronograma!$N$4:Cronograma!$N$51)</f>
        <v/>
      </c>
      <c r="C12" s="14">
        <f>SUMIF(Cronograma!$B$4:Cronograma!$B$51,2,Cronograma!$N$4:Cronograma!$N$51)</f>
        <v/>
      </c>
      <c r="D12" s="14">
        <f>SUMIF(Cronograma!$B$4:Cronograma!$B$51,3,Cronograma!$N$4:Cronograma!$N$51)</f>
        <v/>
      </c>
      <c r="E12" s="14">
        <f>SUMIF(Cronograma!$B$4:Cronograma!$B$51,4,Cronograma!$N$4:Cronograma!$N$51)</f>
        <v/>
      </c>
      <c r="F12" s="15">
        <f>B12+C12+D12+E12</f>
        <v/>
      </c>
    </row>
    <row r="13" ht="16" customHeight="1">
      <c r="A13" s="5" t="inlineStr">
        <is>
          <t>(-) Pagto. Terrenista</t>
        </is>
      </c>
      <c r="B13" s="11">
        <f>SUMIF(Cronograma!$B$4:Cronograma!$B$51,1,Cronograma!$O$4:Cronograma!$O$51)</f>
        <v/>
      </c>
      <c r="C13" s="11">
        <f>SUMIF(Cronograma!$B$4:Cronograma!$B$51,2,Cronograma!$O$4:Cronograma!$O$51)</f>
        <v/>
      </c>
      <c r="D13" s="11">
        <f>SUMIF(Cronograma!$B$4:Cronograma!$B$51,3,Cronograma!$O$4:Cronograma!$O$51)</f>
        <v/>
      </c>
      <c r="E13" s="11">
        <f>SUMIF(Cronograma!$B$4:Cronograma!$B$51,4,Cronograma!$O$4:Cronograma!$O$51)</f>
        <v/>
      </c>
      <c r="F13" s="12">
        <f>B13+C13+D13+E13</f>
        <v/>
      </c>
    </row>
    <row r="14" ht="16" customHeight="1">
      <c r="A14" s="8" t="inlineStr">
        <is>
          <t>(-) Impostos</t>
        </is>
      </c>
      <c r="B14" s="9">
        <f>SUMIF(Cronograma!$B$4:Cronograma!$B$51,1,Cronograma!$Q$4:Cronograma!$Q$51)</f>
        <v/>
      </c>
      <c r="C14" s="9">
        <f>SUMIF(Cronograma!$B$4:Cronograma!$B$51,2,Cronograma!$Q$4:Cronograma!$Q$51)</f>
        <v/>
      </c>
      <c r="D14" s="9">
        <f>SUMIF(Cronograma!$B$4:Cronograma!$B$51,3,Cronograma!$Q$4:Cronograma!$Q$51)</f>
        <v/>
      </c>
      <c r="E14" s="9">
        <f>SUMIF(Cronograma!$B$4:Cronograma!$B$51,4,Cronograma!$Q$4:Cronograma!$Q$51)</f>
        <v/>
      </c>
      <c r="F14" s="10">
        <f>B14+C14+D14+E14</f>
        <v/>
      </c>
    </row>
    <row r="15" ht="16" customHeight="1">
      <c r="A15" s="5" t="inlineStr">
        <is>
          <t>(-) Custo Financeiro</t>
        </is>
      </c>
      <c r="B15" s="11">
        <f>SUMIF(Cronograma!$B$4:Cronograma!$B$51,1,Cronograma!$R$4:Cronograma!$R$51)</f>
        <v/>
      </c>
      <c r="C15" s="11">
        <f>SUMIF(Cronograma!$B$4:Cronograma!$B$51,2,Cronograma!$R$4:Cronograma!$R$51)</f>
        <v/>
      </c>
      <c r="D15" s="11">
        <f>SUMIF(Cronograma!$B$4:Cronograma!$B$51,3,Cronograma!$R$4:Cronograma!$R$51)</f>
        <v/>
      </c>
      <c r="E15" s="11">
        <f>SUMIF(Cronograma!$B$4:Cronograma!$B$51,4,Cronograma!$R$4:Cronograma!$R$51)</f>
        <v/>
      </c>
      <c r="F15" s="12">
        <f>B15+C15+D15+E15</f>
        <v/>
      </c>
    </row>
    <row r="16" ht="16" customHeight="1">
      <c r="A16" s="13" t="inlineStr">
        <is>
          <t>FLUXO LÍQUIDO EMPREENDEDOR</t>
        </is>
      </c>
      <c r="B16" s="14">
        <f>SUMIF(Cronograma!$B$4:Cronograma!$B$51,1,Cronograma!$S$4:Cronograma!$S$51)</f>
        <v/>
      </c>
      <c r="C16" s="14">
        <f>SUMIF(Cronograma!$B$4:Cronograma!$B$51,2,Cronograma!$S$4:Cronograma!$S$51)</f>
        <v/>
      </c>
      <c r="D16" s="14">
        <f>SUMIF(Cronograma!$B$4:Cronograma!$B$51,3,Cronograma!$S$4:Cronograma!$S$51)</f>
        <v/>
      </c>
      <c r="E16" s="14">
        <f>SUMIF(Cronograma!$B$4:Cronograma!$B$51,4,Cronograma!$S$4:Cronograma!$S$51)</f>
        <v/>
      </c>
      <c r="F16" s="15">
        <f>B16+C16+D16+E16</f>
        <v/>
      </c>
    </row>
    <row r="17" ht="16" customHeight="1">
      <c r="A17" s="16" t="inlineStr">
        <is>
          <t>SALDO ACUMULADO (final ano)</t>
        </is>
      </c>
      <c r="B17" s="14">
        <f>Cronograma!$T$15</f>
        <v/>
      </c>
      <c r="C17" s="14">
        <f>Cronograma!$T$27</f>
        <v/>
      </c>
      <c r="D17" s="14">
        <f>Cronograma!$T$39</f>
        <v/>
      </c>
      <c r="E17" s="14">
        <f>Cronograma!$T$51</f>
        <v/>
      </c>
      <c r="F17" s="15">
        <f>Cronograma!$T$51</f>
        <v/>
      </c>
    </row>
    <row r="19" ht="20" customHeight="1">
      <c r="A19" s="3" t="inlineStr">
        <is>
          <t>INDICADORES CHAVE (vínculos com Parâmetros)</t>
        </is>
      </c>
    </row>
    <row r="20" ht="16" customHeight="1">
      <c r="A20" s="8" t="inlineStr">
        <is>
          <t>VGV Total</t>
        </is>
      </c>
      <c r="B20" s="17">
        <f>Parâmetros!$B$6</f>
        <v/>
      </c>
    </row>
    <row r="21" ht="16" customHeight="1">
      <c r="A21" s="5" t="inlineStr">
        <is>
          <t>Preço por lote</t>
        </is>
      </c>
      <c r="B21" s="17">
        <f>Parâmetros!$B$4</f>
        <v/>
      </c>
    </row>
    <row r="22" ht="16" customHeight="1">
      <c r="A22" s="8" t="inlineStr">
        <is>
          <t>Total de lotes</t>
        </is>
      </c>
      <c r="B22" s="18">
        <f>Parâmetros!$B$5</f>
        <v/>
      </c>
    </row>
    <row r="23" ht="16" customHeight="1">
      <c r="A23" s="5" t="inlineStr">
        <is>
          <t>% Empreendedor</t>
        </is>
      </c>
      <c r="B23" s="19">
        <f>Parâmetros!$B$18</f>
        <v/>
      </c>
    </row>
    <row r="24" ht="16" customHeight="1">
      <c r="A24" s="8" t="inlineStr">
        <is>
          <t>% Terrenista</t>
        </is>
      </c>
      <c r="B24" s="19">
        <f>Parâmetros!$B$19</f>
        <v/>
      </c>
    </row>
    <row r="25" ht="16" customHeight="1">
      <c r="A25" s="5" t="inlineStr">
        <is>
          <t>Capital próprio investido</t>
        </is>
      </c>
      <c r="B25" s="17">
        <f>Parâmetros!$B$21</f>
        <v/>
      </c>
    </row>
    <row r="26" ht="16" customHeight="1">
      <c r="A26" s="8" t="inlineStr">
        <is>
          <t>Infra total</t>
        </is>
      </c>
      <c r="B26" s="17">
        <f>Parâmetros!$B$24</f>
        <v/>
      </c>
    </row>
  </sheetData>
  <mergeCells count="9">
    <mergeCell ref="B21:F21"/>
    <mergeCell ref="B24:F24"/>
    <mergeCell ref="A19:F19"/>
    <mergeCell ref="B20:F20"/>
    <mergeCell ref="A1:F1"/>
    <mergeCell ref="B25:F25"/>
    <mergeCell ref="B23:F23"/>
    <mergeCell ref="B22:F22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4" customWidth="1" min="3" max="3"/>
    <col width="35" customWidth="1" min="4" max="4"/>
  </cols>
  <sheetData>
    <row r="1" ht="26" customHeight="1">
      <c r="A1" s="20" t="inlineStr">
        <is>
          <t>PARÂMETROS — altere aqui e todo o fluxo de caixa recalcula</t>
        </is>
      </c>
    </row>
    <row r="2" ht="15" customHeight="1">
      <c r="A2" s="21" t="inlineStr">
        <is>
          <t>🟡 Amarelo = editável   |   🔵 Azul = calculado automaticamente</t>
        </is>
      </c>
    </row>
    <row r="3" ht="18" customHeight="1">
      <c r="A3" s="22" t="inlineStr">
        <is>
          <t>COMERCIAL</t>
        </is>
      </c>
    </row>
    <row r="4" ht="17" customHeight="1">
      <c r="A4" s="23" t="inlineStr">
        <is>
          <t>Preço de venda por lote (R$)</t>
        </is>
      </c>
      <c r="B4" s="24" t="n">
        <v>80000</v>
      </c>
      <c r="C4" s="25" t="inlineStr">
        <is>
          <t>R$</t>
        </is>
      </c>
      <c r="D4" s="26" t="inlineStr">
        <is>
          <t>Entrada — loteamento popular</t>
        </is>
      </c>
    </row>
    <row r="5" ht="17" customHeight="1">
      <c r="A5" s="27" t="inlineStr">
        <is>
          <t>Total de lotes</t>
        </is>
      </c>
      <c r="B5" s="28" t="n">
        <v>330</v>
      </c>
      <c r="C5" s="29" t="inlineStr">
        <is>
          <t>un.</t>
        </is>
      </c>
      <c r="D5" s="30" t="inlineStr">
        <is>
          <t>Aprovado pelo projeto urbanístico</t>
        </is>
      </c>
    </row>
    <row r="6" ht="17" customHeight="1">
      <c r="A6" s="23" t="inlineStr">
        <is>
          <t>VGV Total (R$)</t>
        </is>
      </c>
      <c r="B6" s="31">
        <f>B4*B5</f>
        <v/>
      </c>
      <c r="C6" s="25" t="inlineStr">
        <is>
          <t>R$</t>
        </is>
      </c>
      <c r="D6" s="26" t="inlineStr">
        <is>
          <t>Calculado</t>
        </is>
      </c>
    </row>
    <row r="7" ht="18" customHeight="1">
      <c r="A7" s="22" t="inlineStr">
        <is>
          <t>FINANCIAMENTO</t>
        </is>
      </c>
    </row>
    <row r="8" ht="17" customHeight="1">
      <c r="A8" s="23" t="inlineStr">
        <is>
          <t>% lotes à vista / banco</t>
        </is>
      </c>
      <c r="B8" s="32" t="n">
        <v>0.7</v>
      </c>
      <c r="C8" s="25" t="inlineStr"/>
      <c r="D8" s="26" t="inlineStr">
        <is>
          <t>70% recebido na venda</t>
        </is>
      </c>
    </row>
    <row r="9" ht="17" customHeight="1">
      <c r="A9" s="27" t="inlineStr">
        <is>
          <t>% lotes financiados empreendedor</t>
        </is>
      </c>
      <c r="B9" s="33">
        <f>1-B8</f>
        <v/>
      </c>
      <c r="C9" s="29" t="inlineStr"/>
      <c r="D9" s="30" t="inlineStr">
        <is>
          <t>Calculado</t>
        </is>
      </c>
    </row>
    <row r="10" ht="17" customHeight="1">
      <c r="A10" s="23" t="inlineStr">
        <is>
          <t>Prazo financiamento (meses)</t>
        </is>
      </c>
      <c r="B10" s="28" t="n">
        <v>60</v>
      </c>
      <c r="C10" s="25" t="inlineStr">
        <is>
          <t>meses</t>
        </is>
      </c>
      <c r="D10" s="26" t="inlineStr">
        <is>
          <t>Máximo 60 meses</t>
        </is>
      </c>
    </row>
    <row r="11" ht="17" customHeight="1">
      <c r="A11" s="27" t="inlineStr">
        <is>
          <t>Parcela por lote (R$/mês)</t>
        </is>
      </c>
      <c r="B11" s="34">
        <f>B4*B9/B10</f>
        <v/>
      </c>
      <c r="C11" s="29" t="inlineStr">
        <is>
          <t>R$/lote/mês</t>
        </is>
      </c>
      <c r="D11" s="30" t="inlineStr">
        <is>
          <t>Calculado</t>
        </is>
      </c>
    </row>
    <row r="12" ht="18" customHeight="1">
      <c r="A12" s="22" t="inlineStr">
        <is>
          <t>TAXAS E PERCENTUAIS</t>
        </is>
      </c>
    </row>
    <row r="13" ht="17" customHeight="1">
      <c r="A13" s="27" t="inlineStr">
        <is>
          <t>Taxa de corretagem</t>
        </is>
      </c>
      <c r="B13" s="32" t="n">
        <v>0.06</v>
      </c>
      <c r="C13" s="29" t="inlineStr">
        <is>
          <t>% venda</t>
        </is>
      </c>
      <c r="D13" s="30" t="inlineStr">
        <is>
          <t>6% sobre valor de venda</t>
        </is>
      </c>
    </row>
    <row r="14" ht="17" customHeight="1">
      <c r="A14" s="23" t="inlineStr">
        <is>
          <t>Taxa administração (% VGV)</t>
        </is>
      </c>
      <c r="B14" s="32" t="n">
        <v>0.03</v>
      </c>
      <c r="C14" s="25" t="inlineStr">
        <is>
          <t>% VGV</t>
        </is>
      </c>
      <c r="D14" s="26" t="inlineStr">
        <is>
          <t>3% do VGV total</t>
        </is>
      </c>
    </row>
    <row r="15" ht="17" customHeight="1">
      <c r="A15" s="27" t="inlineStr">
        <is>
          <t>Taxa marketing (% VGV)</t>
        </is>
      </c>
      <c r="B15" s="32" t="n">
        <v>0.02</v>
      </c>
      <c r="C15" s="29" t="inlineStr">
        <is>
          <t>% VGV</t>
        </is>
      </c>
      <c r="D15" s="30" t="inlineStr">
        <is>
          <t>2% do VGV total</t>
        </is>
      </c>
    </row>
    <row r="16" ht="17" customHeight="1">
      <c r="A16" s="23" t="inlineStr">
        <is>
          <t>Taxa contingência</t>
        </is>
      </c>
      <c r="B16" s="32" t="n">
        <v>0.03</v>
      </c>
      <c r="C16" s="25" t="inlineStr">
        <is>
          <t>% custos</t>
        </is>
      </c>
      <c r="D16" s="26" t="inlineStr">
        <is>
          <t>3% sobre custos diretos</t>
        </is>
      </c>
    </row>
    <row r="17" ht="17" customHeight="1">
      <c r="A17" s="27" t="inlineStr">
        <is>
          <t>Taxa impostos — Lucro Presumido</t>
        </is>
      </c>
      <c r="B17" s="32" t="n">
        <v>0.065</v>
      </c>
      <c r="C17" s="29" t="inlineStr">
        <is>
          <t>% receita</t>
        </is>
      </c>
      <c r="D17" s="30" t="inlineStr">
        <is>
          <t>PIS+COFINS+IRPJ+CSLL</t>
        </is>
      </c>
    </row>
    <row r="18" ht="17" customHeight="1">
      <c r="A18" s="23" t="inlineStr">
        <is>
          <t>% Empreendedor</t>
        </is>
      </c>
      <c r="B18" s="32" t="n">
        <v>0.65</v>
      </c>
      <c r="C18" s="25" t="inlineStr"/>
      <c r="D18" s="26" t="inlineStr">
        <is>
          <t>Base: lucro antes dos impostos</t>
        </is>
      </c>
    </row>
    <row r="19" ht="17" customHeight="1">
      <c r="A19" s="27" t="inlineStr">
        <is>
          <t>% Terrenista</t>
        </is>
      </c>
      <c r="B19" s="33">
        <f>1-B18</f>
        <v/>
      </c>
      <c r="C19" s="29" t="inlineStr"/>
      <c r="D19" s="30" t="inlineStr">
        <is>
          <t>Calculado</t>
        </is>
      </c>
    </row>
    <row r="20" ht="18" customHeight="1">
      <c r="A20" s="22" t="inlineStr">
        <is>
          <t>CAPITAL</t>
        </is>
      </c>
    </row>
    <row r="21" ht="17" customHeight="1">
      <c r="A21" s="27" t="inlineStr">
        <is>
          <t>Capital próprio investido (R$)</t>
        </is>
      </c>
      <c r="B21" s="24" t="n">
        <v>1000000</v>
      </c>
      <c r="C21" s="29" t="inlineStr">
        <is>
          <t>R$</t>
        </is>
      </c>
      <c r="D21" s="30" t="inlineStr">
        <is>
          <t>Aporte inicial — mês 0</t>
        </is>
      </c>
    </row>
    <row r="22" ht="17" customHeight="1">
      <c r="A22" s="23" t="inlineStr">
        <is>
          <t>Taxa custo financeiro (a.m.)</t>
        </is>
      </c>
      <c r="B22" s="32" t="n">
        <v>0.015</v>
      </c>
      <c r="C22" s="25" t="inlineStr">
        <is>
          <t>a.m.</t>
        </is>
      </c>
      <c r="D22" s="26" t="inlineStr">
        <is>
          <t>1,5% sobre saldo negativo acum.</t>
        </is>
      </c>
    </row>
    <row r="23" ht="18" customHeight="1">
      <c r="A23" s="22" t="inlineStr">
        <is>
          <t>INFRAESTRUTURA</t>
        </is>
      </c>
    </row>
    <row r="24" ht="17" customHeight="1">
      <c r="A24" s="23" t="inlineStr">
        <is>
          <t>Total infraestrutura (R$)</t>
        </is>
      </c>
      <c r="B24" s="24" t="n">
        <v>5430000</v>
      </c>
      <c r="C24" s="25" t="inlineStr">
        <is>
          <t>R$</t>
        </is>
      </c>
      <c r="D24" s="26" t="inlineStr">
        <is>
          <t>Da aba Infraestrutura — pode vincular se quiser</t>
        </is>
      </c>
    </row>
    <row r="26" ht="30" customHeight="1">
      <c r="A26" s="35" t="inlineStr">
        <is>
          <t>💡  DICA: Para vincular o total da infra automaticamente, substitua o valor de B24 pela fórmula: =Viabilidade!Infraestrutura!E14  (após gerar a planilha principal)</t>
        </is>
      </c>
    </row>
  </sheetData>
  <mergeCells count="8">
    <mergeCell ref="A1:D1"/>
    <mergeCell ref="A23:D23"/>
    <mergeCell ref="A12:D12"/>
    <mergeCell ref="A3:D3"/>
    <mergeCell ref="A20:D20"/>
    <mergeCell ref="A26:D26"/>
    <mergeCell ref="A7:D7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13" customWidth="1" min="3" max="3"/>
    <col width="10" customWidth="1" min="4" max="4"/>
    <col width="16" customWidth="1" min="5" max="5"/>
    <col width="14" customWidth="1" min="6" max="6"/>
    <col width="16" customWidth="1" min="7" max="7"/>
    <col width="18" customWidth="1" min="8" max="8"/>
    <col width="16" customWidth="1" min="9" max="9"/>
    <col width="13" customWidth="1" min="10" max="10"/>
    <col width="14" customWidth="1" min="11" max="11"/>
    <col width="13" customWidth="1" min="12" max="12"/>
    <col width="15" customWidth="1" min="13" max="13"/>
    <col width="16" customWidth="1" min="14" max="14"/>
    <col width="15" customWidth="1" min="15" max="15"/>
    <col width="16" customWidth="1" min="16" max="16"/>
    <col width="13" customWidth="1" min="17" max="17"/>
    <col width="16" customWidth="1" min="18" max="18"/>
    <col width="16" customWidth="1" min="19" max="19"/>
    <col width="18" customWidth="1" min="20" max="20"/>
  </cols>
  <sheetData>
    <row r="1" ht="22" customHeight="1">
      <c r="A1" s="36" t="inlineStr">
        <is>
          <t>CRONOGRAMA MESTRE — motor de cálculo — todas as fórmulas ligadas a Parâmetros</t>
        </is>
      </c>
    </row>
    <row r="2" ht="14" customHeight="1">
      <c r="A2" s="37" t="inlineStr">
        <is>
          <t>IDENTIFICAÇÃO</t>
        </is>
      </c>
      <c r="D2" s="38" t="inlineStr">
        <is>
          <t>ENTRADAS (EDITÁVEIS)</t>
        </is>
      </c>
      <c r="G2" s="39" t="inlineStr">
        <is>
          <t>RECEITAS</t>
        </is>
      </c>
      <c r="J2" s="40" t="inlineStr">
        <is>
          <t>CUSTOS</t>
        </is>
      </c>
      <c r="N2" s="37" t="inlineStr">
        <is>
          <t>RESULTADO BRUTO</t>
        </is>
      </c>
      <c r="Q2" s="38" t="inlineStr">
        <is>
          <t>RESULTADO LÍQUIDO EMPREENDEDOR</t>
        </is>
      </c>
    </row>
    <row r="3" ht="30" customHeight="1">
      <c r="A3" s="41" t="inlineStr">
        <is>
          <t>MÊS</t>
        </is>
      </c>
      <c r="B3" s="41" t="inlineStr">
        <is>
          <t>ANO</t>
        </is>
      </c>
      <c r="C3" s="41" t="inlineStr">
        <is>
          <t>MÊS
NOME</t>
        </is>
      </c>
      <c r="D3" s="42" t="inlineStr">
        <is>
          <t>LOTES
VENDIDOS</t>
        </is>
      </c>
      <c r="E3" s="42" t="inlineStr">
        <is>
          <t>INFRA-
ESTRUTURA</t>
        </is>
      </c>
      <c r="F3" s="42" t="inlineStr">
        <is>
          <t>MARKETING
MENSAL</t>
        </is>
      </c>
      <c r="G3" s="43" t="inlineStr">
        <is>
          <t>RECEITA
À VISTA</t>
        </is>
      </c>
      <c r="H3" s="43" t="inlineStr">
        <is>
          <t>PARCELAS
RECEB.</t>
        </is>
      </c>
      <c r="I3" s="43" t="inlineStr">
        <is>
          <t>TOTAL
RECEITA</t>
        </is>
      </c>
      <c r="J3" s="44" t="inlineStr">
        <is>
          <t>CORRETA-
GEM</t>
        </is>
      </c>
      <c r="K3" s="44" t="inlineStr">
        <is>
          <t>ADMIN
MENSAL</t>
        </is>
      </c>
      <c r="L3" s="44" t="inlineStr">
        <is>
          <t>CONTIN-
GÊNCIA</t>
        </is>
      </c>
      <c r="M3" s="44" t="inlineStr">
        <is>
          <t>TOTAL
CUSTOS</t>
        </is>
      </c>
      <c r="N3" s="41" t="inlineStr">
        <is>
          <t>RESULTADO
BRUTO</t>
        </is>
      </c>
      <c r="O3" s="41" t="inlineStr">
        <is>
          <t>PAGTO.
TERRENISTA</t>
        </is>
      </c>
      <c r="P3" s="41" t="inlineStr">
        <is>
          <t>RES.EMPREEN-
DEDOR</t>
        </is>
      </c>
      <c r="Q3" s="42" t="inlineStr">
        <is>
          <t>IMPOSTOS</t>
        </is>
      </c>
      <c r="R3" s="42" t="inlineStr">
        <is>
          <t>CUSTO
FINANC.</t>
        </is>
      </c>
      <c r="S3" s="42" t="inlineStr">
        <is>
          <t>FLUXO
LÍQUIDO</t>
        </is>
      </c>
      <c r="T3" s="42" t="inlineStr">
        <is>
          <t>FLUXO
ACUMULADO</t>
        </is>
      </c>
    </row>
    <row r="4" ht="15" customHeight="1">
      <c r="A4" s="45" t="n">
        <v>1</v>
      </c>
      <c r="B4" s="46">
        <f>INT((A4-1)/12)+1</f>
        <v/>
      </c>
      <c r="C4" s="5" t="inlineStr">
        <is>
          <t>Janeiro</t>
        </is>
      </c>
      <c r="D4" s="46" t="n">
        <v>0</v>
      </c>
      <c r="E4" s="47" t="n">
        <v>50000</v>
      </c>
      <c r="F4" s="47" t="n">
        <v>0</v>
      </c>
      <c r="G4" s="48">
        <f>D4*Parâmetros!$B$4*Parâmetros!$B$8</f>
        <v/>
      </c>
      <c r="H4" s="48" t="n">
        <v>0</v>
      </c>
      <c r="I4" s="49">
        <f>G4+H4</f>
        <v/>
      </c>
      <c r="J4" s="48">
        <f>D4*Parâmetros!$B$4*Parâmetros!$B$13</f>
        <v/>
      </c>
      <c r="K4" s="48">
        <f>Parâmetros!$B$6*Parâmetros!$B$14/48</f>
        <v/>
      </c>
      <c r="L4" s="48">
        <f>(E4+F4+J4+K4)*Parâmetros!$B$16</f>
        <v/>
      </c>
      <c r="M4" s="50">
        <f>E4+F4+J4+K4+L4</f>
        <v/>
      </c>
      <c r="N4" s="49">
        <f>I4-M4</f>
        <v/>
      </c>
      <c r="O4" s="48">
        <f>MAX(0,N4)*Parâmetros!$B$19</f>
        <v/>
      </c>
      <c r="P4" s="49">
        <f>N4-O4</f>
        <v/>
      </c>
      <c r="Q4" s="48">
        <f>I4*Parâmetros!$B$17</f>
        <v/>
      </c>
      <c r="R4" s="48">
        <f>Parâmetros!$B$21*Parâmetros!$B$22</f>
        <v/>
      </c>
      <c r="S4" s="49">
        <f>P4-Q4-R4</f>
        <v/>
      </c>
      <c r="T4" s="49">
        <f>S4-Parâmetros!$B$21</f>
        <v/>
      </c>
    </row>
    <row r="5" ht="15" customHeight="1">
      <c r="A5" s="51" t="n">
        <v>2</v>
      </c>
      <c r="B5" s="52">
        <f>INT((A5-1)/12)+1</f>
        <v/>
      </c>
      <c r="C5" s="8" t="inlineStr">
        <is>
          <t>Fevereiro</t>
        </is>
      </c>
      <c r="D5" s="52" t="n">
        <v>0</v>
      </c>
      <c r="E5" s="47" t="n">
        <v>100000</v>
      </c>
      <c r="F5" s="47" t="n">
        <v>0</v>
      </c>
      <c r="G5" s="53">
        <f>D5*Parâmetros!$B$4*Parâmetros!$B$8</f>
        <v/>
      </c>
      <c r="H5" s="53">
        <f>SUMPRODUCT(($D$4:D4)*($A$4:A4&gt;=(A5-Parâmetros!$B$10)))*Parâmetros!$B$11</f>
        <v/>
      </c>
      <c r="I5" s="54">
        <f>G5+H5</f>
        <v/>
      </c>
      <c r="J5" s="53">
        <f>D5*Parâmetros!$B$4*Parâmetros!$B$13</f>
        <v/>
      </c>
      <c r="K5" s="53">
        <f>Parâmetros!$B$6*Parâmetros!$B$14/48</f>
        <v/>
      </c>
      <c r="L5" s="53">
        <f>(E5+F5+J5+K5)*Parâmetros!$B$16</f>
        <v/>
      </c>
      <c r="M5" s="50">
        <f>E5+F5+J5+K5+L5</f>
        <v/>
      </c>
      <c r="N5" s="54">
        <f>I5-M5</f>
        <v/>
      </c>
      <c r="O5" s="53">
        <f>MAX(0,N5)*Parâmetros!$B$19</f>
        <v/>
      </c>
      <c r="P5" s="54">
        <f>N5-O5</f>
        <v/>
      </c>
      <c r="Q5" s="53">
        <f>I5*Parâmetros!$B$17</f>
        <v/>
      </c>
      <c r="R5" s="53">
        <f>MAX(0,-T4)*Parâmetros!$B$22</f>
        <v/>
      </c>
      <c r="S5" s="54">
        <f>P5-Q5-R5</f>
        <v/>
      </c>
      <c r="T5" s="54">
        <f>T4+S5</f>
        <v/>
      </c>
    </row>
    <row r="6" ht="15" customHeight="1">
      <c r="A6" s="45" t="n">
        <v>3</v>
      </c>
      <c r="B6" s="46">
        <f>INT((A6-1)/12)+1</f>
        <v/>
      </c>
      <c r="C6" s="5" t="inlineStr">
        <is>
          <t>Março</t>
        </is>
      </c>
      <c r="D6" s="46" t="n">
        <v>0</v>
      </c>
      <c r="E6" s="47" t="n">
        <v>100000</v>
      </c>
      <c r="F6" s="47" t="n">
        <v>0</v>
      </c>
      <c r="G6" s="48">
        <f>D6*Parâmetros!$B$4*Parâmetros!$B$8</f>
        <v/>
      </c>
      <c r="H6" s="48">
        <f>SUMPRODUCT(($D$4:D5)*($A$4:A5&gt;=(A6-Parâmetros!$B$10)))*Parâmetros!$B$11</f>
        <v/>
      </c>
      <c r="I6" s="49">
        <f>G6+H6</f>
        <v/>
      </c>
      <c r="J6" s="48">
        <f>D6*Parâmetros!$B$4*Parâmetros!$B$13</f>
        <v/>
      </c>
      <c r="K6" s="48">
        <f>Parâmetros!$B$6*Parâmetros!$B$14/48</f>
        <v/>
      </c>
      <c r="L6" s="48">
        <f>(E6+F6+J6+K6)*Parâmetros!$B$16</f>
        <v/>
      </c>
      <c r="M6" s="50">
        <f>E6+F6+J6+K6+L6</f>
        <v/>
      </c>
      <c r="N6" s="49">
        <f>I6-M6</f>
        <v/>
      </c>
      <c r="O6" s="48">
        <f>MAX(0,N6)*Parâmetros!$B$19</f>
        <v/>
      </c>
      <c r="P6" s="49">
        <f>N6-O6</f>
        <v/>
      </c>
      <c r="Q6" s="48">
        <f>I6*Parâmetros!$B$17</f>
        <v/>
      </c>
      <c r="R6" s="48">
        <f>MAX(0,-T5)*Parâmetros!$B$22</f>
        <v/>
      </c>
      <c r="S6" s="49">
        <f>P6-Q6-R6</f>
        <v/>
      </c>
      <c r="T6" s="49">
        <f>T5+S6</f>
        <v/>
      </c>
    </row>
    <row r="7" ht="15" customHeight="1">
      <c r="A7" s="51" t="n">
        <v>4</v>
      </c>
      <c r="B7" s="52">
        <f>INT((A7-1)/12)+1</f>
        <v/>
      </c>
      <c r="C7" s="8" t="inlineStr">
        <is>
          <t>Abril</t>
        </is>
      </c>
      <c r="D7" s="52" t="n">
        <v>0</v>
      </c>
      <c r="E7" s="47" t="n">
        <v>200000</v>
      </c>
      <c r="F7" s="47" t="n">
        <v>0</v>
      </c>
      <c r="G7" s="53">
        <f>D7*Parâmetros!$B$4*Parâmetros!$B$8</f>
        <v/>
      </c>
      <c r="H7" s="53">
        <f>SUMPRODUCT(($D$4:D6)*($A$4:A6&gt;=(A7-Parâmetros!$B$10)))*Parâmetros!$B$11</f>
        <v/>
      </c>
      <c r="I7" s="54">
        <f>G7+H7</f>
        <v/>
      </c>
      <c r="J7" s="53">
        <f>D7*Parâmetros!$B$4*Parâmetros!$B$13</f>
        <v/>
      </c>
      <c r="K7" s="53">
        <f>Parâmetros!$B$6*Parâmetros!$B$14/48</f>
        <v/>
      </c>
      <c r="L7" s="53">
        <f>(E7+F7+J7+K7)*Parâmetros!$B$16</f>
        <v/>
      </c>
      <c r="M7" s="50">
        <f>E7+F7+J7+K7+L7</f>
        <v/>
      </c>
      <c r="N7" s="54">
        <f>I7-M7</f>
        <v/>
      </c>
      <c r="O7" s="53">
        <f>MAX(0,N7)*Parâmetros!$B$19</f>
        <v/>
      </c>
      <c r="P7" s="54">
        <f>N7-O7</f>
        <v/>
      </c>
      <c r="Q7" s="53">
        <f>I7*Parâmetros!$B$17</f>
        <v/>
      </c>
      <c r="R7" s="53">
        <f>MAX(0,-T6)*Parâmetros!$B$22</f>
        <v/>
      </c>
      <c r="S7" s="54">
        <f>P7-Q7-R7</f>
        <v/>
      </c>
      <c r="T7" s="54">
        <f>T6+S7</f>
        <v/>
      </c>
    </row>
    <row r="8" ht="15" customHeight="1">
      <c r="A8" s="45" t="n">
        <v>5</v>
      </c>
      <c r="B8" s="46">
        <f>INT((A8-1)/12)+1</f>
        <v/>
      </c>
      <c r="C8" s="5" t="inlineStr">
        <is>
          <t>Maio</t>
        </is>
      </c>
      <c r="D8" s="46" t="n">
        <v>0</v>
      </c>
      <c r="E8" s="47" t="n">
        <v>300000</v>
      </c>
      <c r="F8" s="47" t="n">
        <v>50000</v>
      </c>
      <c r="G8" s="48">
        <f>D8*Parâmetros!$B$4*Parâmetros!$B$8</f>
        <v/>
      </c>
      <c r="H8" s="48">
        <f>SUMPRODUCT(($D$4:D7)*($A$4:A7&gt;=(A8-Parâmetros!$B$10)))*Parâmetros!$B$11</f>
        <v/>
      </c>
      <c r="I8" s="49">
        <f>G8+H8</f>
        <v/>
      </c>
      <c r="J8" s="48">
        <f>D8*Parâmetros!$B$4*Parâmetros!$B$13</f>
        <v/>
      </c>
      <c r="K8" s="48">
        <f>Parâmetros!$B$6*Parâmetros!$B$14/48</f>
        <v/>
      </c>
      <c r="L8" s="48">
        <f>(E8+F8+J8+K8)*Parâmetros!$B$16</f>
        <v/>
      </c>
      <c r="M8" s="50">
        <f>E8+F8+J8+K8+L8</f>
        <v/>
      </c>
      <c r="N8" s="49">
        <f>I8-M8</f>
        <v/>
      </c>
      <c r="O8" s="48">
        <f>MAX(0,N8)*Parâmetros!$B$19</f>
        <v/>
      </c>
      <c r="P8" s="49">
        <f>N8-O8</f>
        <v/>
      </c>
      <c r="Q8" s="48">
        <f>I8*Parâmetros!$B$17</f>
        <v/>
      </c>
      <c r="R8" s="48">
        <f>MAX(0,-T7)*Parâmetros!$B$22</f>
        <v/>
      </c>
      <c r="S8" s="49">
        <f>P8-Q8-R8</f>
        <v/>
      </c>
      <c r="T8" s="49">
        <f>T7+S8</f>
        <v/>
      </c>
    </row>
    <row r="9" ht="15" customHeight="1">
      <c r="A9" s="51" t="n">
        <v>6</v>
      </c>
      <c r="B9" s="52">
        <f>INT((A9-1)/12)+1</f>
        <v/>
      </c>
      <c r="C9" s="8" t="inlineStr">
        <is>
          <t>Junho</t>
        </is>
      </c>
      <c r="D9" s="52" t="n">
        <v>0</v>
      </c>
      <c r="E9" s="47" t="n">
        <v>300000</v>
      </c>
      <c r="F9" s="47" t="n">
        <v>100000</v>
      </c>
      <c r="G9" s="53">
        <f>D9*Parâmetros!$B$4*Parâmetros!$B$8</f>
        <v/>
      </c>
      <c r="H9" s="53">
        <f>SUMPRODUCT(($D$4:D8)*($A$4:A8&gt;=(A9-Parâmetros!$B$10)))*Parâmetros!$B$11</f>
        <v/>
      </c>
      <c r="I9" s="54">
        <f>G9+H9</f>
        <v/>
      </c>
      <c r="J9" s="53">
        <f>D9*Parâmetros!$B$4*Parâmetros!$B$13</f>
        <v/>
      </c>
      <c r="K9" s="53">
        <f>Parâmetros!$B$6*Parâmetros!$B$14/48</f>
        <v/>
      </c>
      <c r="L9" s="53">
        <f>(E9+F9+J9+K9)*Parâmetros!$B$16</f>
        <v/>
      </c>
      <c r="M9" s="50">
        <f>E9+F9+J9+K9+L9</f>
        <v/>
      </c>
      <c r="N9" s="54">
        <f>I9-M9</f>
        <v/>
      </c>
      <c r="O9" s="53">
        <f>MAX(0,N9)*Parâmetros!$B$19</f>
        <v/>
      </c>
      <c r="P9" s="54">
        <f>N9-O9</f>
        <v/>
      </c>
      <c r="Q9" s="53">
        <f>I9*Parâmetros!$B$17</f>
        <v/>
      </c>
      <c r="R9" s="53">
        <f>MAX(0,-T8)*Parâmetros!$B$22</f>
        <v/>
      </c>
      <c r="S9" s="54">
        <f>P9-Q9-R9</f>
        <v/>
      </c>
      <c r="T9" s="54">
        <f>T8+S9</f>
        <v/>
      </c>
    </row>
    <row r="10" ht="15" customHeight="1">
      <c r="A10" s="45" t="n">
        <v>7</v>
      </c>
      <c r="B10" s="46">
        <f>INT((A10-1)/12)+1</f>
        <v/>
      </c>
      <c r="C10" s="5" t="inlineStr">
        <is>
          <t>Julho</t>
        </is>
      </c>
      <c r="D10" s="55" t="n">
        <v>40</v>
      </c>
      <c r="E10" s="47" t="n">
        <v>400000</v>
      </c>
      <c r="F10" s="47" t="n">
        <v>100000</v>
      </c>
      <c r="G10" s="48">
        <f>D10*Parâmetros!$B$4*Parâmetros!$B$8</f>
        <v/>
      </c>
      <c r="H10" s="48">
        <f>SUMPRODUCT(($D$4:D9)*($A$4:A9&gt;=(A10-Parâmetros!$B$10)))*Parâmetros!$B$11</f>
        <v/>
      </c>
      <c r="I10" s="56">
        <f>G10+H10</f>
        <v/>
      </c>
      <c r="J10" s="48">
        <f>D10*Parâmetros!$B$4*Parâmetros!$B$13</f>
        <v/>
      </c>
      <c r="K10" s="48">
        <f>Parâmetros!$B$6*Parâmetros!$B$14/48</f>
        <v/>
      </c>
      <c r="L10" s="48">
        <f>(E10+F10+J10+K10)*Parâmetros!$B$16</f>
        <v/>
      </c>
      <c r="M10" s="50">
        <f>E10+F10+J10+K10+L10</f>
        <v/>
      </c>
      <c r="N10" s="49">
        <f>I10-M10</f>
        <v/>
      </c>
      <c r="O10" s="48">
        <f>MAX(0,N10)*Parâmetros!$B$19</f>
        <v/>
      </c>
      <c r="P10" s="49">
        <f>N10-O10</f>
        <v/>
      </c>
      <c r="Q10" s="48">
        <f>I10*Parâmetros!$B$17</f>
        <v/>
      </c>
      <c r="R10" s="48">
        <f>MAX(0,-T9)*Parâmetros!$B$22</f>
        <v/>
      </c>
      <c r="S10" s="49">
        <f>P10-Q10-R10</f>
        <v/>
      </c>
      <c r="T10" s="49">
        <f>T9+S10</f>
        <v/>
      </c>
    </row>
    <row r="11" ht="15" customHeight="1">
      <c r="A11" s="51" t="n">
        <v>8</v>
      </c>
      <c r="B11" s="52">
        <f>INT((A11-1)/12)+1</f>
        <v/>
      </c>
      <c r="C11" s="8" t="inlineStr">
        <is>
          <t>Agosto</t>
        </is>
      </c>
      <c r="D11" s="55" t="n">
        <v>10</v>
      </c>
      <c r="E11" s="47" t="n">
        <v>400000</v>
      </c>
      <c r="F11" s="47" t="n">
        <v>50000</v>
      </c>
      <c r="G11" s="53">
        <f>D11*Parâmetros!$B$4*Parâmetros!$B$8</f>
        <v/>
      </c>
      <c r="H11" s="53">
        <f>SUMPRODUCT(($D$4:D10)*($A$4:A10&gt;=(A11-Parâmetros!$B$10)))*Parâmetros!$B$11</f>
        <v/>
      </c>
      <c r="I11" s="56">
        <f>G11+H11</f>
        <v/>
      </c>
      <c r="J11" s="53">
        <f>D11*Parâmetros!$B$4*Parâmetros!$B$13</f>
        <v/>
      </c>
      <c r="K11" s="53">
        <f>Parâmetros!$B$6*Parâmetros!$B$14/48</f>
        <v/>
      </c>
      <c r="L11" s="53">
        <f>(E11+F11+J11+K11)*Parâmetros!$B$16</f>
        <v/>
      </c>
      <c r="M11" s="50">
        <f>E11+F11+J11+K11+L11</f>
        <v/>
      </c>
      <c r="N11" s="54">
        <f>I11-M11</f>
        <v/>
      </c>
      <c r="O11" s="53">
        <f>MAX(0,N11)*Parâmetros!$B$19</f>
        <v/>
      </c>
      <c r="P11" s="54">
        <f>N11-O11</f>
        <v/>
      </c>
      <c r="Q11" s="53">
        <f>I11*Parâmetros!$B$17</f>
        <v/>
      </c>
      <c r="R11" s="53">
        <f>MAX(0,-T10)*Parâmetros!$B$22</f>
        <v/>
      </c>
      <c r="S11" s="54">
        <f>P11-Q11-R11</f>
        <v/>
      </c>
      <c r="T11" s="54">
        <f>T10+S11</f>
        <v/>
      </c>
    </row>
    <row r="12" ht="15" customHeight="1">
      <c r="A12" s="45" t="n">
        <v>9</v>
      </c>
      <c r="B12" s="46">
        <f>INT((A12-1)/12)+1</f>
        <v/>
      </c>
      <c r="C12" s="5" t="inlineStr">
        <is>
          <t>Setembro</t>
        </is>
      </c>
      <c r="D12" s="55" t="n">
        <v>10</v>
      </c>
      <c r="E12" s="47" t="n">
        <v>400000</v>
      </c>
      <c r="F12" s="47" t="n">
        <v>30000</v>
      </c>
      <c r="G12" s="48">
        <f>D12*Parâmetros!$B$4*Parâmetros!$B$8</f>
        <v/>
      </c>
      <c r="H12" s="48">
        <f>SUMPRODUCT(($D$4:D11)*($A$4:A11&gt;=(A12-Parâmetros!$B$10)))*Parâmetros!$B$11</f>
        <v/>
      </c>
      <c r="I12" s="56">
        <f>G12+H12</f>
        <v/>
      </c>
      <c r="J12" s="48">
        <f>D12*Parâmetros!$B$4*Parâmetros!$B$13</f>
        <v/>
      </c>
      <c r="K12" s="48">
        <f>Parâmetros!$B$6*Parâmetros!$B$14/48</f>
        <v/>
      </c>
      <c r="L12" s="48">
        <f>(E12+F12+J12+K12)*Parâmetros!$B$16</f>
        <v/>
      </c>
      <c r="M12" s="50">
        <f>E12+F12+J12+K12+L12</f>
        <v/>
      </c>
      <c r="N12" s="49">
        <f>I12-M12</f>
        <v/>
      </c>
      <c r="O12" s="48">
        <f>MAX(0,N12)*Parâmetros!$B$19</f>
        <v/>
      </c>
      <c r="P12" s="49">
        <f>N12-O12</f>
        <v/>
      </c>
      <c r="Q12" s="48">
        <f>I12*Parâmetros!$B$17</f>
        <v/>
      </c>
      <c r="R12" s="48">
        <f>MAX(0,-T11)*Parâmetros!$B$22</f>
        <v/>
      </c>
      <c r="S12" s="49">
        <f>P12-Q12-R12</f>
        <v/>
      </c>
      <c r="T12" s="49">
        <f>T11+S12</f>
        <v/>
      </c>
    </row>
    <row r="13" ht="15" customHeight="1">
      <c r="A13" s="51" t="n">
        <v>10</v>
      </c>
      <c r="B13" s="52">
        <f>INT((A13-1)/12)+1</f>
        <v/>
      </c>
      <c r="C13" s="8" t="inlineStr">
        <is>
          <t>Outubro</t>
        </is>
      </c>
      <c r="D13" s="55" t="n">
        <v>10</v>
      </c>
      <c r="E13" s="47" t="n">
        <v>400000</v>
      </c>
      <c r="F13" s="47" t="n">
        <v>20000</v>
      </c>
      <c r="G13" s="53">
        <f>D13*Parâmetros!$B$4*Parâmetros!$B$8</f>
        <v/>
      </c>
      <c r="H13" s="53">
        <f>SUMPRODUCT(($D$4:D12)*($A$4:A12&gt;=(A13-Parâmetros!$B$10)))*Parâmetros!$B$11</f>
        <v/>
      </c>
      <c r="I13" s="56">
        <f>G13+H13</f>
        <v/>
      </c>
      <c r="J13" s="53">
        <f>D13*Parâmetros!$B$4*Parâmetros!$B$13</f>
        <v/>
      </c>
      <c r="K13" s="53">
        <f>Parâmetros!$B$6*Parâmetros!$B$14/48</f>
        <v/>
      </c>
      <c r="L13" s="53">
        <f>(E13+F13+J13+K13)*Parâmetros!$B$16</f>
        <v/>
      </c>
      <c r="M13" s="50">
        <f>E13+F13+J13+K13+L13</f>
        <v/>
      </c>
      <c r="N13" s="54">
        <f>I13-M13</f>
        <v/>
      </c>
      <c r="O13" s="53">
        <f>MAX(0,N13)*Parâmetros!$B$19</f>
        <v/>
      </c>
      <c r="P13" s="54">
        <f>N13-O13</f>
        <v/>
      </c>
      <c r="Q13" s="53">
        <f>I13*Parâmetros!$B$17</f>
        <v/>
      </c>
      <c r="R13" s="53">
        <f>MAX(0,-T12)*Parâmetros!$B$22</f>
        <v/>
      </c>
      <c r="S13" s="54">
        <f>P13-Q13-R13</f>
        <v/>
      </c>
      <c r="T13" s="54">
        <f>T12+S13</f>
        <v/>
      </c>
    </row>
    <row r="14" ht="15" customHeight="1">
      <c r="A14" s="45" t="n">
        <v>11</v>
      </c>
      <c r="B14" s="46">
        <f>INT((A14-1)/12)+1</f>
        <v/>
      </c>
      <c r="C14" s="5" t="inlineStr">
        <is>
          <t>Novembro</t>
        </is>
      </c>
      <c r="D14" s="55" t="n">
        <v>10</v>
      </c>
      <c r="E14" s="47" t="n">
        <v>400000</v>
      </c>
      <c r="F14" s="47" t="n">
        <v>20000</v>
      </c>
      <c r="G14" s="48">
        <f>D14*Parâmetros!$B$4*Parâmetros!$B$8</f>
        <v/>
      </c>
      <c r="H14" s="48">
        <f>SUMPRODUCT(($D$4:D13)*($A$4:A13&gt;=(A14-Parâmetros!$B$10)))*Parâmetros!$B$11</f>
        <v/>
      </c>
      <c r="I14" s="56">
        <f>G14+H14</f>
        <v/>
      </c>
      <c r="J14" s="48">
        <f>D14*Parâmetros!$B$4*Parâmetros!$B$13</f>
        <v/>
      </c>
      <c r="K14" s="48">
        <f>Parâmetros!$B$6*Parâmetros!$B$14/48</f>
        <v/>
      </c>
      <c r="L14" s="48">
        <f>(E14+F14+J14+K14)*Parâmetros!$B$16</f>
        <v/>
      </c>
      <c r="M14" s="50">
        <f>E14+F14+J14+K14+L14</f>
        <v/>
      </c>
      <c r="N14" s="49">
        <f>I14-M14</f>
        <v/>
      </c>
      <c r="O14" s="48">
        <f>MAX(0,N14)*Parâmetros!$B$19</f>
        <v/>
      </c>
      <c r="P14" s="49">
        <f>N14-O14</f>
        <v/>
      </c>
      <c r="Q14" s="48">
        <f>I14*Parâmetros!$B$17</f>
        <v/>
      </c>
      <c r="R14" s="48">
        <f>MAX(0,-T13)*Parâmetros!$B$22</f>
        <v/>
      </c>
      <c r="S14" s="49">
        <f>P14-Q14-R14</f>
        <v/>
      </c>
      <c r="T14" s="49">
        <f>T13+S14</f>
        <v/>
      </c>
    </row>
    <row r="15" ht="15" customHeight="1">
      <c r="A15" s="51" t="n">
        <v>12</v>
      </c>
      <c r="B15" s="52">
        <f>INT((A15-1)/12)+1</f>
        <v/>
      </c>
      <c r="C15" s="8" t="inlineStr">
        <is>
          <t>Dezembro</t>
        </is>
      </c>
      <c r="D15" s="55" t="n">
        <v>10</v>
      </c>
      <c r="E15" s="47" t="n">
        <v>380000</v>
      </c>
      <c r="F15" s="47" t="n">
        <v>20000</v>
      </c>
      <c r="G15" s="53">
        <f>D15*Parâmetros!$B$4*Parâmetros!$B$8</f>
        <v/>
      </c>
      <c r="H15" s="53">
        <f>SUMPRODUCT(($D$4:D14)*($A$4:A14&gt;=(A15-Parâmetros!$B$10)))*Parâmetros!$B$11</f>
        <v/>
      </c>
      <c r="I15" s="56">
        <f>G15+H15</f>
        <v/>
      </c>
      <c r="J15" s="53">
        <f>D15*Parâmetros!$B$4*Parâmetros!$B$13</f>
        <v/>
      </c>
      <c r="K15" s="53">
        <f>Parâmetros!$B$6*Parâmetros!$B$14/48</f>
        <v/>
      </c>
      <c r="L15" s="53">
        <f>(E15+F15+J15+K15)*Parâmetros!$B$16</f>
        <v/>
      </c>
      <c r="M15" s="50">
        <f>E15+F15+J15+K15+L15</f>
        <v/>
      </c>
      <c r="N15" s="54">
        <f>I15-M15</f>
        <v/>
      </c>
      <c r="O15" s="53">
        <f>MAX(0,N15)*Parâmetros!$B$19</f>
        <v/>
      </c>
      <c r="P15" s="54">
        <f>N15-O15</f>
        <v/>
      </c>
      <c r="Q15" s="53">
        <f>I15*Parâmetros!$B$17</f>
        <v/>
      </c>
      <c r="R15" s="53">
        <f>MAX(0,-T14)*Parâmetros!$B$22</f>
        <v/>
      </c>
      <c r="S15" s="54">
        <f>P15-Q15-R15</f>
        <v/>
      </c>
      <c r="T15" s="54">
        <f>T14+S15</f>
        <v/>
      </c>
    </row>
    <row r="16" ht="15" customHeight="1">
      <c r="A16" s="45" t="n">
        <v>13</v>
      </c>
      <c r="B16" s="46">
        <f>INT((A16-1)/12)+1</f>
        <v/>
      </c>
      <c r="C16" s="5" t="inlineStr">
        <is>
          <t>Janeiro</t>
        </is>
      </c>
      <c r="D16" s="55" t="n">
        <v>10</v>
      </c>
      <c r="E16" s="47" t="n">
        <v>350000</v>
      </c>
      <c r="F16" s="47" t="n">
        <v>5000</v>
      </c>
      <c r="G16" s="48">
        <f>D16*Parâmetros!$B$4*Parâmetros!$B$8</f>
        <v/>
      </c>
      <c r="H16" s="48">
        <f>SUMPRODUCT(($D$4:D15)*($A$4:A15&gt;=(A16-Parâmetros!$B$10)))*Parâmetros!$B$11</f>
        <v/>
      </c>
      <c r="I16" s="56">
        <f>G16+H16</f>
        <v/>
      </c>
      <c r="J16" s="48">
        <f>D16*Parâmetros!$B$4*Parâmetros!$B$13</f>
        <v/>
      </c>
      <c r="K16" s="48">
        <f>Parâmetros!$B$6*Parâmetros!$B$14/48</f>
        <v/>
      </c>
      <c r="L16" s="48">
        <f>(E16+F16+J16+K16)*Parâmetros!$B$16</f>
        <v/>
      </c>
      <c r="M16" s="50">
        <f>E16+F16+J16+K16+L16</f>
        <v/>
      </c>
      <c r="N16" s="49">
        <f>I16-M16</f>
        <v/>
      </c>
      <c r="O16" s="48">
        <f>MAX(0,N16)*Parâmetros!$B$19</f>
        <v/>
      </c>
      <c r="P16" s="49">
        <f>N16-O16</f>
        <v/>
      </c>
      <c r="Q16" s="48">
        <f>I16*Parâmetros!$B$17</f>
        <v/>
      </c>
      <c r="R16" s="48">
        <f>MAX(0,-T15)*Parâmetros!$B$22</f>
        <v/>
      </c>
      <c r="S16" s="49">
        <f>P16-Q16-R16</f>
        <v/>
      </c>
      <c r="T16" s="49">
        <f>T15+S16</f>
        <v/>
      </c>
    </row>
    <row r="17" ht="15" customHeight="1">
      <c r="A17" s="51" t="n">
        <v>14</v>
      </c>
      <c r="B17" s="52">
        <f>INT((A17-1)/12)+1</f>
        <v/>
      </c>
      <c r="C17" s="8" t="inlineStr">
        <is>
          <t>Fevereiro</t>
        </is>
      </c>
      <c r="D17" s="55" t="n">
        <v>10</v>
      </c>
      <c r="E17" s="47" t="n">
        <v>350000</v>
      </c>
      <c r="F17" s="47" t="n">
        <v>5000</v>
      </c>
      <c r="G17" s="53">
        <f>D17*Parâmetros!$B$4*Parâmetros!$B$8</f>
        <v/>
      </c>
      <c r="H17" s="53">
        <f>SUMPRODUCT(($D$4:D16)*($A$4:A16&gt;=(A17-Parâmetros!$B$10)))*Parâmetros!$B$11</f>
        <v/>
      </c>
      <c r="I17" s="56">
        <f>G17+H17</f>
        <v/>
      </c>
      <c r="J17" s="53">
        <f>D17*Parâmetros!$B$4*Parâmetros!$B$13</f>
        <v/>
      </c>
      <c r="K17" s="53">
        <f>Parâmetros!$B$6*Parâmetros!$B$14/48</f>
        <v/>
      </c>
      <c r="L17" s="53">
        <f>(E17+F17+J17+K17)*Parâmetros!$B$16</f>
        <v/>
      </c>
      <c r="M17" s="50">
        <f>E17+F17+J17+K17+L17</f>
        <v/>
      </c>
      <c r="N17" s="54">
        <f>I17-M17</f>
        <v/>
      </c>
      <c r="O17" s="53">
        <f>MAX(0,N17)*Parâmetros!$B$19</f>
        <v/>
      </c>
      <c r="P17" s="54">
        <f>N17-O17</f>
        <v/>
      </c>
      <c r="Q17" s="53">
        <f>I17*Parâmetros!$B$17</f>
        <v/>
      </c>
      <c r="R17" s="53">
        <f>MAX(0,-T16)*Parâmetros!$B$22</f>
        <v/>
      </c>
      <c r="S17" s="54">
        <f>P17-Q17-R17</f>
        <v/>
      </c>
      <c r="T17" s="54">
        <f>T16+S17</f>
        <v/>
      </c>
    </row>
    <row r="18" ht="15" customHeight="1">
      <c r="A18" s="45" t="n">
        <v>15</v>
      </c>
      <c r="B18" s="46">
        <f>INT((A18-1)/12)+1</f>
        <v/>
      </c>
      <c r="C18" s="5" t="inlineStr">
        <is>
          <t>Março</t>
        </is>
      </c>
      <c r="D18" s="55" t="n">
        <v>10</v>
      </c>
      <c r="E18" s="47" t="n">
        <v>300000</v>
      </c>
      <c r="F18" s="47" t="n">
        <v>5000</v>
      </c>
      <c r="G18" s="48">
        <f>D18*Parâmetros!$B$4*Parâmetros!$B$8</f>
        <v/>
      </c>
      <c r="H18" s="48">
        <f>SUMPRODUCT(($D$4:D17)*($A$4:A17&gt;=(A18-Parâmetros!$B$10)))*Parâmetros!$B$11</f>
        <v/>
      </c>
      <c r="I18" s="56">
        <f>G18+H18</f>
        <v/>
      </c>
      <c r="J18" s="48">
        <f>D18*Parâmetros!$B$4*Parâmetros!$B$13</f>
        <v/>
      </c>
      <c r="K18" s="48">
        <f>Parâmetros!$B$6*Parâmetros!$B$14/48</f>
        <v/>
      </c>
      <c r="L18" s="48">
        <f>(E18+F18+J18+K18)*Parâmetros!$B$16</f>
        <v/>
      </c>
      <c r="M18" s="50">
        <f>E18+F18+J18+K18+L18</f>
        <v/>
      </c>
      <c r="N18" s="49">
        <f>I18-M18</f>
        <v/>
      </c>
      <c r="O18" s="48">
        <f>MAX(0,N18)*Parâmetros!$B$19</f>
        <v/>
      </c>
      <c r="P18" s="49">
        <f>N18-O18</f>
        <v/>
      </c>
      <c r="Q18" s="48">
        <f>I18*Parâmetros!$B$17</f>
        <v/>
      </c>
      <c r="R18" s="48">
        <f>MAX(0,-T17)*Parâmetros!$B$22</f>
        <v/>
      </c>
      <c r="S18" s="49">
        <f>P18-Q18-R18</f>
        <v/>
      </c>
      <c r="T18" s="49">
        <f>T17+S18</f>
        <v/>
      </c>
    </row>
    <row r="19" ht="15" customHeight="1">
      <c r="A19" s="51" t="n">
        <v>16</v>
      </c>
      <c r="B19" s="52">
        <f>INT((A19-1)/12)+1</f>
        <v/>
      </c>
      <c r="C19" s="8" t="inlineStr">
        <is>
          <t>Abril</t>
        </is>
      </c>
      <c r="D19" s="55" t="n">
        <v>10</v>
      </c>
      <c r="E19" s="47" t="n">
        <v>200000</v>
      </c>
      <c r="F19" s="47" t="n">
        <v>5000</v>
      </c>
      <c r="G19" s="53">
        <f>D19*Parâmetros!$B$4*Parâmetros!$B$8</f>
        <v/>
      </c>
      <c r="H19" s="53">
        <f>SUMPRODUCT(($D$4:D18)*($A$4:A18&gt;=(A19-Parâmetros!$B$10)))*Parâmetros!$B$11</f>
        <v/>
      </c>
      <c r="I19" s="56">
        <f>G19+H19</f>
        <v/>
      </c>
      <c r="J19" s="53">
        <f>D19*Parâmetros!$B$4*Parâmetros!$B$13</f>
        <v/>
      </c>
      <c r="K19" s="53">
        <f>Parâmetros!$B$6*Parâmetros!$B$14/48</f>
        <v/>
      </c>
      <c r="L19" s="53">
        <f>(E19+F19+J19+K19)*Parâmetros!$B$16</f>
        <v/>
      </c>
      <c r="M19" s="50">
        <f>E19+F19+J19+K19+L19</f>
        <v/>
      </c>
      <c r="N19" s="54">
        <f>I19-M19</f>
        <v/>
      </c>
      <c r="O19" s="53">
        <f>MAX(0,N19)*Parâmetros!$B$19</f>
        <v/>
      </c>
      <c r="P19" s="54">
        <f>N19-O19</f>
        <v/>
      </c>
      <c r="Q19" s="53">
        <f>I19*Parâmetros!$B$17</f>
        <v/>
      </c>
      <c r="R19" s="53">
        <f>MAX(0,-T18)*Parâmetros!$B$22</f>
        <v/>
      </c>
      <c r="S19" s="54">
        <f>P19-Q19-R19</f>
        <v/>
      </c>
      <c r="T19" s="54">
        <f>T18+S19</f>
        <v/>
      </c>
    </row>
    <row r="20" ht="15" customHeight="1">
      <c r="A20" s="45" t="n">
        <v>17</v>
      </c>
      <c r="B20" s="46">
        <f>INT((A20-1)/12)+1</f>
        <v/>
      </c>
      <c r="C20" s="5" t="inlineStr">
        <is>
          <t>Maio</t>
        </is>
      </c>
      <c r="D20" s="55" t="n">
        <v>10</v>
      </c>
      <c r="E20" s="47" t="n">
        <v>150000</v>
      </c>
      <c r="F20" s="47" t="n">
        <v>5000</v>
      </c>
      <c r="G20" s="48">
        <f>D20*Parâmetros!$B$4*Parâmetros!$B$8</f>
        <v/>
      </c>
      <c r="H20" s="48">
        <f>SUMPRODUCT(($D$4:D19)*($A$4:A19&gt;=(A20-Parâmetros!$B$10)))*Parâmetros!$B$11</f>
        <v/>
      </c>
      <c r="I20" s="56">
        <f>G20+H20</f>
        <v/>
      </c>
      <c r="J20" s="48">
        <f>D20*Parâmetros!$B$4*Parâmetros!$B$13</f>
        <v/>
      </c>
      <c r="K20" s="48">
        <f>Parâmetros!$B$6*Parâmetros!$B$14/48</f>
        <v/>
      </c>
      <c r="L20" s="48">
        <f>(E20+F20+J20+K20)*Parâmetros!$B$16</f>
        <v/>
      </c>
      <c r="M20" s="50">
        <f>E20+F20+J20+K20+L20</f>
        <v/>
      </c>
      <c r="N20" s="49">
        <f>I20-M20</f>
        <v/>
      </c>
      <c r="O20" s="48">
        <f>MAX(0,N20)*Parâmetros!$B$19</f>
        <v/>
      </c>
      <c r="P20" s="49">
        <f>N20-O20</f>
        <v/>
      </c>
      <c r="Q20" s="48">
        <f>I20*Parâmetros!$B$17</f>
        <v/>
      </c>
      <c r="R20" s="48">
        <f>MAX(0,-T19)*Parâmetros!$B$22</f>
        <v/>
      </c>
      <c r="S20" s="49">
        <f>P20-Q20-R20</f>
        <v/>
      </c>
      <c r="T20" s="49">
        <f>T19+S20</f>
        <v/>
      </c>
    </row>
    <row r="21" ht="15" customHeight="1">
      <c r="A21" s="51" t="n">
        <v>18</v>
      </c>
      <c r="B21" s="52">
        <f>INT((A21-1)/12)+1</f>
        <v/>
      </c>
      <c r="C21" s="8" t="inlineStr">
        <is>
          <t>Junho</t>
        </is>
      </c>
      <c r="D21" s="55" t="n">
        <v>10</v>
      </c>
      <c r="E21" s="47" t="n">
        <v>100000</v>
      </c>
      <c r="F21" s="47" t="n">
        <v>5000</v>
      </c>
      <c r="G21" s="53">
        <f>D21*Parâmetros!$B$4*Parâmetros!$B$8</f>
        <v/>
      </c>
      <c r="H21" s="53">
        <f>SUMPRODUCT(($D$4:D20)*($A$4:A20&gt;=(A21-Parâmetros!$B$10)))*Parâmetros!$B$11</f>
        <v/>
      </c>
      <c r="I21" s="56">
        <f>G21+H21</f>
        <v/>
      </c>
      <c r="J21" s="53">
        <f>D21*Parâmetros!$B$4*Parâmetros!$B$13</f>
        <v/>
      </c>
      <c r="K21" s="53">
        <f>Parâmetros!$B$6*Parâmetros!$B$14/48</f>
        <v/>
      </c>
      <c r="L21" s="53">
        <f>(E21+F21+J21+K21)*Parâmetros!$B$16</f>
        <v/>
      </c>
      <c r="M21" s="50">
        <f>E21+F21+J21+K21+L21</f>
        <v/>
      </c>
      <c r="N21" s="54">
        <f>I21-M21</f>
        <v/>
      </c>
      <c r="O21" s="53">
        <f>MAX(0,N21)*Parâmetros!$B$19</f>
        <v/>
      </c>
      <c r="P21" s="54">
        <f>N21-O21</f>
        <v/>
      </c>
      <c r="Q21" s="53">
        <f>I21*Parâmetros!$B$17</f>
        <v/>
      </c>
      <c r="R21" s="53">
        <f>MAX(0,-T20)*Parâmetros!$B$22</f>
        <v/>
      </c>
      <c r="S21" s="54">
        <f>P21-Q21-R21</f>
        <v/>
      </c>
      <c r="T21" s="54">
        <f>T20+S21</f>
        <v/>
      </c>
    </row>
    <row r="22" ht="15" customHeight="1">
      <c r="A22" s="45" t="n">
        <v>19</v>
      </c>
      <c r="B22" s="46">
        <f>INT((A22-1)/12)+1</f>
        <v/>
      </c>
      <c r="C22" s="5" t="inlineStr">
        <is>
          <t>Julho</t>
        </is>
      </c>
      <c r="D22" s="55" t="n">
        <v>10</v>
      </c>
      <c r="E22" s="47" t="n">
        <v>100000</v>
      </c>
      <c r="F22" s="47" t="n">
        <v>5000</v>
      </c>
      <c r="G22" s="48">
        <f>D22*Parâmetros!$B$4*Parâmetros!$B$8</f>
        <v/>
      </c>
      <c r="H22" s="48">
        <f>SUMPRODUCT(($D$4:D21)*($A$4:A21&gt;=(A22-Parâmetros!$B$10)))*Parâmetros!$B$11</f>
        <v/>
      </c>
      <c r="I22" s="56">
        <f>G22+H22</f>
        <v/>
      </c>
      <c r="J22" s="48">
        <f>D22*Parâmetros!$B$4*Parâmetros!$B$13</f>
        <v/>
      </c>
      <c r="K22" s="48">
        <f>Parâmetros!$B$6*Parâmetros!$B$14/48</f>
        <v/>
      </c>
      <c r="L22" s="48">
        <f>(E22+F22+J22+K22)*Parâmetros!$B$16</f>
        <v/>
      </c>
      <c r="M22" s="50">
        <f>E22+F22+J22+K22+L22</f>
        <v/>
      </c>
      <c r="N22" s="49">
        <f>I22-M22</f>
        <v/>
      </c>
      <c r="O22" s="48">
        <f>MAX(0,N22)*Parâmetros!$B$19</f>
        <v/>
      </c>
      <c r="P22" s="49">
        <f>N22-O22</f>
        <v/>
      </c>
      <c r="Q22" s="48">
        <f>I22*Parâmetros!$B$17</f>
        <v/>
      </c>
      <c r="R22" s="48">
        <f>MAX(0,-T21)*Parâmetros!$B$22</f>
        <v/>
      </c>
      <c r="S22" s="49">
        <f>P22-Q22-R22</f>
        <v/>
      </c>
      <c r="T22" s="49">
        <f>T21+S22</f>
        <v/>
      </c>
    </row>
    <row r="23" ht="15" customHeight="1">
      <c r="A23" s="51" t="n">
        <v>20</v>
      </c>
      <c r="B23" s="52">
        <f>INT((A23-1)/12)+1</f>
        <v/>
      </c>
      <c r="C23" s="8" t="inlineStr">
        <is>
          <t>Agosto</t>
        </is>
      </c>
      <c r="D23" s="55" t="n">
        <v>10</v>
      </c>
      <c r="E23" s="47" t="n">
        <v>80000</v>
      </c>
      <c r="F23" s="47" t="n">
        <v>5000</v>
      </c>
      <c r="G23" s="53">
        <f>D23*Parâmetros!$B$4*Parâmetros!$B$8</f>
        <v/>
      </c>
      <c r="H23" s="53">
        <f>SUMPRODUCT(($D$4:D22)*($A$4:A22&gt;=(A23-Parâmetros!$B$10)))*Parâmetros!$B$11</f>
        <v/>
      </c>
      <c r="I23" s="56">
        <f>G23+H23</f>
        <v/>
      </c>
      <c r="J23" s="53">
        <f>D23*Parâmetros!$B$4*Parâmetros!$B$13</f>
        <v/>
      </c>
      <c r="K23" s="53">
        <f>Parâmetros!$B$6*Parâmetros!$B$14/48</f>
        <v/>
      </c>
      <c r="L23" s="53">
        <f>(E23+F23+J23+K23)*Parâmetros!$B$16</f>
        <v/>
      </c>
      <c r="M23" s="50">
        <f>E23+F23+J23+K23+L23</f>
        <v/>
      </c>
      <c r="N23" s="54">
        <f>I23-M23</f>
        <v/>
      </c>
      <c r="O23" s="53">
        <f>MAX(0,N23)*Parâmetros!$B$19</f>
        <v/>
      </c>
      <c r="P23" s="54">
        <f>N23-O23</f>
        <v/>
      </c>
      <c r="Q23" s="53">
        <f>I23*Parâmetros!$B$17</f>
        <v/>
      </c>
      <c r="R23" s="53">
        <f>MAX(0,-T22)*Parâmetros!$B$22</f>
        <v/>
      </c>
      <c r="S23" s="54">
        <f>P23-Q23-R23</f>
        <v/>
      </c>
      <c r="T23" s="54">
        <f>T22+S23</f>
        <v/>
      </c>
    </row>
    <row r="24" ht="15" customHeight="1">
      <c r="A24" s="45" t="n">
        <v>21</v>
      </c>
      <c r="B24" s="46">
        <f>INT((A24-1)/12)+1</f>
        <v/>
      </c>
      <c r="C24" s="5" t="inlineStr">
        <is>
          <t>Setembro</t>
        </is>
      </c>
      <c r="D24" s="55" t="n">
        <v>10</v>
      </c>
      <c r="E24" s="47" t="n">
        <v>60000</v>
      </c>
      <c r="F24" s="47" t="n">
        <v>5000</v>
      </c>
      <c r="G24" s="48">
        <f>D24*Parâmetros!$B$4*Parâmetros!$B$8</f>
        <v/>
      </c>
      <c r="H24" s="48">
        <f>SUMPRODUCT(($D$4:D23)*($A$4:A23&gt;=(A24-Parâmetros!$B$10)))*Parâmetros!$B$11</f>
        <v/>
      </c>
      <c r="I24" s="56">
        <f>G24+H24</f>
        <v/>
      </c>
      <c r="J24" s="48">
        <f>D24*Parâmetros!$B$4*Parâmetros!$B$13</f>
        <v/>
      </c>
      <c r="K24" s="48">
        <f>Parâmetros!$B$6*Parâmetros!$B$14/48</f>
        <v/>
      </c>
      <c r="L24" s="48">
        <f>(E24+F24+J24+K24)*Parâmetros!$B$16</f>
        <v/>
      </c>
      <c r="M24" s="50">
        <f>E24+F24+J24+K24+L24</f>
        <v/>
      </c>
      <c r="N24" s="49">
        <f>I24-M24</f>
        <v/>
      </c>
      <c r="O24" s="48">
        <f>MAX(0,N24)*Parâmetros!$B$19</f>
        <v/>
      </c>
      <c r="P24" s="49">
        <f>N24-O24</f>
        <v/>
      </c>
      <c r="Q24" s="48">
        <f>I24*Parâmetros!$B$17</f>
        <v/>
      </c>
      <c r="R24" s="48">
        <f>MAX(0,-T23)*Parâmetros!$B$22</f>
        <v/>
      </c>
      <c r="S24" s="49">
        <f>P24-Q24-R24</f>
        <v/>
      </c>
      <c r="T24" s="49">
        <f>T23+S24</f>
        <v/>
      </c>
    </row>
    <row r="25" ht="15" customHeight="1">
      <c r="A25" s="51" t="n">
        <v>22</v>
      </c>
      <c r="B25" s="52">
        <f>INT((A25-1)/12)+1</f>
        <v/>
      </c>
      <c r="C25" s="8" t="inlineStr">
        <is>
          <t>Outubro</t>
        </is>
      </c>
      <c r="D25" s="55" t="n">
        <v>10</v>
      </c>
      <c r="E25" s="47" t="n">
        <v>50000</v>
      </c>
      <c r="F25" s="47" t="n">
        <v>5000</v>
      </c>
      <c r="G25" s="53">
        <f>D25*Parâmetros!$B$4*Parâmetros!$B$8</f>
        <v/>
      </c>
      <c r="H25" s="53">
        <f>SUMPRODUCT(($D$4:D24)*($A$4:A24&gt;=(A25-Parâmetros!$B$10)))*Parâmetros!$B$11</f>
        <v/>
      </c>
      <c r="I25" s="56">
        <f>G25+H25</f>
        <v/>
      </c>
      <c r="J25" s="53">
        <f>D25*Parâmetros!$B$4*Parâmetros!$B$13</f>
        <v/>
      </c>
      <c r="K25" s="53">
        <f>Parâmetros!$B$6*Parâmetros!$B$14/48</f>
        <v/>
      </c>
      <c r="L25" s="53">
        <f>(E25+F25+J25+K25)*Parâmetros!$B$16</f>
        <v/>
      </c>
      <c r="M25" s="50">
        <f>E25+F25+J25+K25+L25</f>
        <v/>
      </c>
      <c r="N25" s="54">
        <f>I25-M25</f>
        <v/>
      </c>
      <c r="O25" s="53">
        <f>MAX(0,N25)*Parâmetros!$B$19</f>
        <v/>
      </c>
      <c r="P25" s="54">
        <f>N25-O25</f>
        <v/>
      </c>
      <c r="Q25" s="53">
        <f>I25*Parâmetros!$B$17</f>
        <v/>
      </c>
      <c r="R25" s="53">
        <f>MAX(0,-T24)*Parâmetros!$B$22</f>
        <v/>
      </c>
      <c r="S25" s="54">
        <f>P25-Q25-R25</f>
        <v/>
      </c>
      <c r="T25" s="54">
        <f>T24+S25</f>
        <v/>
      </c>
    </row>
    <row r="26" ht="15" customHeight="1">
      <c r="A26" s="45" t="n">
        <v>23</v>
      </c>
      <c r="B26" s="46">
        <f>INT((A26-1)/12)+1</f>
        <v/>
      </c>
      <c r="C26" s="5" t="inlineStr">
        <is>
          <t>Novembro</t>
        </is>
      </c>
      <c r="D26" s="55" t="n">
        <v>10</v>
      </c>
      <c r="E26" s="47" t="n">
        <v>30000</v>
      </c>
      <c r="F26" s="47" t="n">
        <v>5000</v>
      </c>
      <c r="G26" s="48">
        <f>D26*Parâmetros!$B$4*Parâmetros!$B$8</f>
        <v/>
      </c>
      <c r="H26" s="48">
        <f>SUMPRODUCT(($D$4:D25)*($A$4:A25&gt;=(A26-Parâmetros!$B$10)))*Parâmetros!$B$11</f>
        <v/>
      </c>
      <c r="I26" s="56">
        <f>G26+H26</f>
        <v/>
      </c>
      <c r="J26" s="48">
        <f>D26*Parâmetros!$B$4*Parâmetros!$B$13</f>
        <v/>
      </c>
      <c r="K26" s="48">
        <f>Parâmetros!$B$6*Parâmetros!$B$14/48</f>
        <v/>
      </c>
      <c r="L26" s="48">
        <f>(E26+F26+J26+K26)*Parâmetros!$B$16</f>
        <v/>
      </c>
      <c r="M26" s="50">
        <f>E26+F26+J26+K26+L26</f>
        <v/>
      </c>
      <c r="N26" s="49">
        <f>I26-M26</f>
        <v/>
      </c>
      <c r="O26" s="48">
        <f>MAX(0,N26)*Parâmetros!$B$19</f>
        <v/>
      </c>
      <c r="P26" s="49">
        <f>N26-O26</f>
        <v/>
      </c>
      <c r="Q26" s="48">
        <f>I26*Parâmetros!$B$17</f>
        <v/>
      </c>
      <c r="R26" s="48">
        <f>MAX(0,-T25)*Parâmetros!$B$22</f>
        <v/>
      </c>
      <c r="S26" s="49">
        <f>P26-Q26-R26</f>
        <v/>
      </c>
      <c r="T26" s="49">
        <f>T25+S26</f>
        <v/>
      </c>
    </row>
    <row r="27" ht="15" customHeight="1">
      <c r="A27" s="51" t="n">
        <v>24</v>
      </c>
      <c r="B27" s="52">
        <f>INT((A27-1)/12)+1</f>
        <v/>
      </c>
      <c r="C27" s="8" t="inlineStr">
        <is>
          <t>Dezembro</t>
        </is>
      </c>
      <c r="D27" s="55" t="n">
        <v>10</v>
      </c>
      <c r="E27" s="47" t="n">
        <v>30000</v>
      </c>
      <c r="F27" s="47" t="n">
        <v>5000</v>
      </c>
      <c r="G27" s="53">
        <f>D27*Parâmetros!$B$4*Parâmetros!$B$8</f>
        <v/>
      </c>
      <c r="H27" s="53">
        <f>SUMPRODUCT(($D$4:D26)*($A$4:A26&gt;=(A27-Parâmetros!$B$10)))*Parâmetros!$B$11</f>
        <v/>
      </c>
      <c r="I27" s="56">
        <f>G27+H27</f>
        <v/>
      </c>
      <c r="J27" s="53">
        <f>D27*Parâmetros!$B$4*Parâmetros!$B$13</f>
        <v/>
      </c>
      <c r="K27" s="53">
        <f>Parâmetros!$B$6*Parâmetros!$B$14/48</f>
        <v/>
      </c>
      <c r="L27" s="53">
        <f>(E27+F27+J27+K27)*Parâmetros!$B$16</f>
        <v/>
      </c>
      <c r="M27" s="50">
        <f>E27+F27+J27+K27+L27</f>
        <v/>
      </c>
      <c r="N27" s="54">
        <f>I27-M27</f>
        <v/>
      </c>
      <c r="O27" s="53">
        <f>MAX(0,N27)*Parâmetros!$B$19</f>
        <v/>
      </c>
      <c r="P27" s="54">
        <f>N27-O27</f>
        <v/>
      </c>
      <c r="Q27" s="53">
        <f>I27*Parâmetros!$B$17</f>
        <v/>
      </c>
      <c r="R27" s="53">
        <f>MAX(0,-T26)*Parâmetros!$B$22</f>
        <v/>
      </c>
      <c r="S27" s="54">
        <f>P27-Q27-R27</f>
        <v/>
      </c>
      <c r="T27" s="54">
        <f>T26+S27</f>
        <v/>
      </c>
    </row>
    <row r="28" ht="15" customHeight="1">
      <c r="A28" s="45" t="n">
        <v>25</v>
      </c>
      <c r="B28" s="46">
        <f>INT((A28-1)/12)+1</f>
        <v/>
      </c>
      <c r="C28" s="5" t="inlineStr">
        <is>
          <t>Janeiro</t>
        </is>
      </c>
      <c r="D28" s="55" t="n">
        <v>10</v>
      </c>
      <c r="E28" s="47" t="n">
        <v>8333</v>
      </c>
      <c r="F28" s="47" t="n">
        <v>3250</v>
      </c>
      <c r="G28" s="48">
        <f>D28*Parâmetros!$B$4*Parâmetros!$B$8</f>
        <v/>
      </c>
      <c r="H28" s="48">
        <f>SUMPRODUCT(($D$4:D27)*($A$4:A27&gt;=(A28-Parâmetros!$B$10)))*Parâmetros!$B$11</f>
        <v/>
      </c>
      <c r="I28" s="56">
        <f>G28+H28</f>
        <v/>
      </c>
      <c r="J28" s="48">
        <f>D28*Parâmetros!$B$4*Parâmetros!$B$13</f>
        <v/>
      </c>
      <c r="K28" s="48">
        <f>Parâmetros!$B$6*Parâmetros!$B$14/48</f>
        <v/>
      </c>
      <c r="L28" s="48">
        <f>(E28+F28+J28+K28)*Parâmetros!$B$16</f>
        <v/>
      </c>
      <c r="M28" s="50">
        <f>E28+F28+J28+K28+L28</f>
        <v/>
      </c>
      <c r="N28" s="49">
        <f>I28-M28</f>
        <v/>
      </c>
      <c r="O28" s="48">
        <f>MAX(0,N28)*Parâmetros!$B$19</f>
        <v/>
      </c>
      <c r="P28" s="49">
        <f>N28-O28</f>
        <v/>
      </c>
      <c r="Q28" s="48">
        <f>I28*Parâmetros!$B$17</f>
        <v/>
      </c>
      <c r="R28" s="48">
        <f>MAX(0,-T27)*Parâmetros!$B$22</f>
        <v/>
      </c>
      <c r="S28" s="49">
        <f>P28-Q28-R28</f>
        <v/>
      </c>
      <c r="T28" s="49">
        <f>T27+S28</f>
        <v/>
      </c>
    </row>
    <row r="29" ht="15" customHeight="1">
      <c r="A29" s="51" t="n">
        <v>26</v>
      </c>
      <c r="B29" s="52">
        <f>INT((A29-1)/12)+1</f>
        <v/>
      </c>
      <c r="C29" s="8" t="inlineStr">
        <is>
          <t>Fevereiro</t>
        </is>
      </c>
      <c r="D29" s="55" t="n">
        <v>10</v>
      </c>
      <c r="E29" s="47" t="n">
        <v>8333</v>
      </c>
      <c r="F29" s="47" t="n">
        <v>3250</v>
      </c>
      <c r="G29" s="53">
        <f>D29*Parâmetros!$B$4*Parâmetros!$B$8</f>
        <v/>
      </c>
      <c r="H29" s="53">
        <f>SUMPRODUCT(($D$4:D28)*($A$4:A28&gt;=(A29-Parâmetros!$B$10)))*Parâmetros!$B$11</f>
        <v/>
      </c>
      <c r="I29" s="56">
        <f>G29+H29</f>
        <v/>
      </c>
      <c r="J29" s="53">
        <f>D29*Parâmetros!$B$4*Parâmetros!$B$13</f>
        <v/>
      </c>
      <c r="K29" s="53">
        <f>Parâmetros!$B$6*Parâmetros!$B$14/48</f>
        <v/>
      </c>
      <c r="L29" s="53">
        <f>(E29+F29+J29+K29)*Parâmetros!$B$16</f>
        <v/>
      </c>
      <c r="M29" s="50">
        <f>E29+F29+J29+K29+L29</f>
        <v/>
      </c>
      <c r="N29" s="54">
        <f>I29-M29</f>
        <v/>
      </c>
      <c r="O29" s="53">
        <f>MAX(0,N29)*Parâmetros!$B$19</f>
        <v/>
      </c>
      <c r="P29" s="54">
        <f>N29-O29</f>
        <v/>
      </c>
      <c r="Q29" s="53">
        <f>I29*Parâmetros!$B$17</f>
        <v/>
      </c>
      <c r="R29" s="53">
        <f>MAX(0,-T28)*Parâmetros!$B$22</f>
        <v/>
      </c>
      <c r="S29" s="54">
        <f>P29-Q29-R29</f>
        <v/>
      </c>
      <c r="T29" s="54">
        <f>T28+S29</f>
        <v/>
      </c>
    </row>
    <row r="30" ht="15" customHeight="1">
      <c r="A30" s="45" t="n">
        <v>27</v>
      </c>
      <c r="B30" s="46">
        <f>INT((A30-1)/12)+1</f>
        <v/>
      </c>
      <c r="C30" s="5" t="inlineStr">
        <is>
          <t>Março</t>
        </is>
      </c>
      <c r="D30" s="55" t="n">
        <v>10</v>
      </c>
      <c r="E30" s="47" t="n">
        <v>8333</v>
      </c>
      <c r="F30" s="47" t="n">
        <v>3250</v>
      </c>
      <c r="G30" s="48">
        <f>D30*Parâmetros!$B$4*Parâmetros!$B$8</f>
        <v/>
      </c>
      <c r="H30" s="48">
        <f>SUMPRODUCT(($D$4:D29)*($A$4:A29&gt;=(A30-Parâmetros!$B$10)))*Parâmetros!$B$11</f>
        <v/>
      </c>
      <c r="I30" s="56">
        <f>G30+H30</f>
        <v/>
      </c>
      <c r="J30" s="48">
        <f>D30*Parâmetros!$B$4*Parâmetros!$B$13</f>
        <v/>
      </c>
      <c r="K30" s="48">
        <f>Parâmetros!$B$6*Parâmetros!$B$14/48</f>
        <v/>
      </c>
      <c r="L30" s="48">
        <f>(E30+F30+J30+K30)*Parâmetros!$B$16</f>
        <v/>
      </c>
      <c r="M30" s="50">
        <f>E30+F30+J30+K30+L30</f>
        <v/>
      </c>
      <c r="N30" s="49">
        <f>I30-M30</f>
        <v/>
      </c>
      <c r="O30" s="48">
        <f>MAX(0,N30)*Parâmetros!$B$19</f>
        <v/>
      </c>
      <c r="P30" s="49">
        <f>N30-O30</f>
        <v/>
      </c>
      <c r="Q30" s="48">
        <f>I30*Parâmetros!$B$17</f>
        <v/>
      </c>
      <c r="R30" s="48">
        <f>MAX(0,-T29)*Parâmetros!$B$22</f>
        <v/>
      </c>
      <c r="S30" s="49">
        <f>P30-Q30-R30</f>
        <v/>
      </c>
      <c r="T30" s="49">
        <f>T29+S30</f>
        <v/>
      </c>
    </row>
    <row r="31" ht="15" customHeight="1">
      <c r="A31" s="51" t="n">
        <v>28</v>
      </c>
      <c r="B31" s="52">
        <f>INT((A31-1)/12)+1</f>
        <v/>
      </c>
      <c r="C31" s="8" t="inlineStr">
        <is>
          <t>Abril</t>
        </is>
      </c>
      <c r="D31" s="55" t="n">
        <v>10</v>
      </c>
      <c r="E31" s="47" t="n">
        <v>8333</v>
      </c>
      <c r="F31" s="47" t="n">
        <v>3250</v>
      </c>
      <c r="G31" s="53">
        <f>D31*Parâmetros!$B$4*Parâmetros!$B$8</f>
        <v/>
      </c>
      <c r="H31" s="53">
        <f>SUMPRODUCT(($D$4:D30)*($A$4:A30&gt;=(A31-Parâmetros!$B$10)))*Parâmetros!$B$11</f>
        <v/>
      </c>
      <c r="I31" s="56">
        <f>G31+H31</f>
        <v/>
      </c>
      <c r="J31" s="53">
        <f>D31*Parâmetros!$B$4*Parâmetros!$B$13</f>
        <v/>
      </c>
      <c r="K31" s="53">
        <f>Parâmetros!$B$6*Parâmetros!$B$14/48</f>
        <v/>
      </c>
      <c r="L31" s="53">
        <f>(E31+F31+J31+K31)*Parâmetros!$B$16</f>
        <v/>
      </c>
      <c r="M31" s="50">
        <f>E31+F31+J31+K31+L31</f>
        <v/>
      </c>
      <c r="N31" s="54">
        <f>I31-M31</f>
        <v/>
      </c>
      <c r="O31" s="53">
        <f>MAX(0,N31)*Parâmetros!$B$19</f>
        <v/>
      </c>
      <c r="P31" s="54">
        <f>N31-O31</f>
        <v/>
      </c>
      <c r="Q31" s="53">
        <f>I31*Parâmetros!$B$17</f>
        <v/>
      </c>
      <c r="R31" s="53">
        <f>MAX(0,-T30)*Parâmetros!$B$22</f>
        <v/>
      </c>
      <c r="S31" s="54">
        <f>P31-Q31-R31</f>
        <v/>
      </c>
      <c r="T31" s="54">
        <f>T30+S31</f>
        <v/>
      </c>
    </row>
    <row r="32" ht="15" customHeight="1">
      <c r="A32" s="45" t="n">
        <v>29</v>
      </c>
      <c r="B32" s="46">
        <f>INT((A32-1)/12)+1</f>
        <v/>
      </c>
      <c r="C32" s="5" t="inlineStr">
        <is>
          <t>Maio</t>
        </is>
      </c>
      <c r="D32" s="55" t="n">
        <v>10</v>
      </c>
      <c r="E32" s="47" t="n">
        <v>8333</v>
      </c>
      <c r="F32" s="47" t="n">
        <v>3250</v>
      </c>
      <c r="G32" s="48">
        <f>D32*Parâmetros!$B$4*Parâmetros!$B$8</f>
        <v/>
      </c>
      <c r="H32" s="48">
        <f>SUMPRODUCT(($D$4:D31)*($A$4:A31&gt;=(A32-Parâmetros!$B$10)))*Parâmetros!$B$11</f>
        <v/>
      </c>
      <c r="I32" s="56">
        <f>G32+H32</f>
        <v/>
      </c>
      <c r="J32" s="48">
        <f>D32*Parâmetros!$B$4*Parâmetros!$B$13</f>
        <v/>
      </c>
      <c r="K32" s="48">
        <f>Parâmetros!$B$6*Parâmetros!$B$14/48</f>
        <v/>
      </c>
      <c r="L32" s="48">
        <f>(E32+F32+J32+K32)*Parâmetros!$B$16</f>
        <v/>
      </c>
      <c r="M32" s="50">
        <f>E32+F32+J32+K32+L32</f>
        <v/>
      </c>
      <c r="N32" s="49">
        <f>I32-M32</f>
        <v/>
      </c>
      <c r="O32" s="48">
        <f>MAX(0,N32)*Parâmetros!$B$19</f>
        <v/>
      </c>
      <c r="P32" s="49">
        <f>N32-O32</f>
        <v/>
      </c>
      <c r="Q32" s="48">
        <f>I32*Parâmetros!$B$17</f>
        <v/>
      </c>
      <c r="R32" s="48">
        <f>MAX(0,-T31)*Parâmetros!$B$22</f>
        <v/>
      </c>
      <c r="S32" s="49">
        <f>P32-Q32-R32</f>
        <v/>
      </c>
      <c r="T32" s="49">
        <f>T31+S32</f>
        <v/>
      </c>
    </row>
    <row r="33" ht="15" customHeight="1">
      <c r="A33" s="51" t="n">
        <v>30</v>
      </c>
      <c r="B33" s="52">
        <f>INT((A33-1)/12)+1</f>
        <v/>
      </c>
      <c r="C33" s="8" t="inlineStr">
        <is>
          <t>Junho</t>
        </is>
      </c>
      <c r="D33" s="55" t="n">
        <v>10</v>
      </c>
      <c r="E33" s="47" t="n">
        <v>8333</v>
      </c>
      <c r="F33" s="47" t="n">
        <v>3250</v>
      </c>
      <c r="G33" s="53">
        <f>D33*Parâmetros!$B$4*Parâmetros!$B$8</f>
        <v/>
      </c>
      <c r="H33" s="53">
        <f>SUMPRODUCT(($D$4:D32)*($A$4:A32&gt;=(A33-Parâmetros!$B$10)))*Parâmetros!$B$11</f>
        <v/>
      </c>
      <c r="I33" s="56">
        <f>G33+H33</f>
        <v/>
      </c>
      <c r="J33" s="53">
        <f>D33*Parâmetros!$B$4*Parâmetros!$B$13</f>
        <v/>
      </c>
      <c r="K33" s="53">
        <f>Parâmetros!$B$6*Parâmetros!$B$14/48</f>
        <v/>
      </c>
      <c r="L33" s="53">
        <f>(E33+F33+J33+K33)*Parâmetros!$B$16</f>
        <v/>
      </c>
      <c r="M33" s="50">
        <f>E33+F33+J33+K33+L33</f>
        <v/>
      </c>
      <c r="N33" s="54">
        <f>I33-M33</f>
        <v/>
      </c>
      <c r="O33" s="53">
        <f>MAX(0,N33)*Parâmetros!$B$19</f>
        <v/>
      </c>
      <c r="P33" s="54">
        <f>N33-O33</f>
        <v/>
      </c>
      <c r="Q33" s="53">
        <f>I33*Parâmetros!$B$17</f>
        <v/>
      </c>
      <c r="R33" s="53">
        <f>MAX(0,-T32)*Parâmetros!$B$22</f>
        <v/>
      </c>
      <c r="S33" s="54">
        <f>P33-Q33-R33</f>
        <v/>
      </c>
      <c r="T33" s="54">
        <f>T32+S33</f>
        <v/>
      </c>
    </row>
    <row r="34" ht="15" customHeight="1">
      <c r="A34" s="45" t="n">
        <v>31</v>
      </c>
      <c r="B34" s="46">
        <f>INT((A34-1)/12)+1</f>
        <v/>
      </c>
      <c r="C34" s="5" t="inlineStr">
        <is>
          <t>Julho</t>
        </is>
      </c>
      <c r="D34" s="55" t="n">
        <v>10</v>
      </c>
      <c r="E34" s="47" t="n">
        <v>8333</v>
      </c>
      <c r="F34" s="47" t="n">
        <v>3250</v>
      </c>
      <c r="G34" s="48">
        <f>D34*Parâmetros!$B$4*Parâmetros!$B$8</f>
        <v/>
      </c>
      <c r="H34" s="48">
        <f>SUMPRODUCT(($D$4:D33)*($A$4:A33&gt;=(A34-Parâmetros!$B$10)))*Parâmetros!$B$11</f>
        <v/>
      </c>
      <c r="I34" s="56">
        <f>G34+H34</f>
        <v/>
      </c>
      <c r="J34" s="48">
        <f>D34*Parâmetros!$B$4*Parâmetros!$B$13</f>
        <v/>
      </c>
      <c r="K34" s="48">
        <f>Parâmetros!$B$6*Parâmetros!$B$14/48</f>
        <v/>
      </c>
      <c r="L34" s="48">
        <f>(E34+F34+J34+K34)*Parâmetros!$B$16</f>
        <v/>
      </c>
      <c r="M34" s="50">
        <f>E34+F34+J34+K34+L34</f>
        <v/>
      </c>
      <c r="N34" s="49">
        <f>I34-M34</f>
        <v/>
      </c>
      <c r="O34" s="48">
        <f>MAX(0,N34)*Parâmetros!$B$19</f>
        <v/>
      </c>
      <c r="P34" s="49">
        <f>N34-O34</f>
        <v/>
      </c>
      <c r="Q34" s="48">
        <f>I34*Parâmetros!$B$17</f>
        <v/>
      </c>
      <c r="R34" s="48">
        <f>MAX(0,-T33)*Parâmetros!$B$22</f>
        <v/>
      </c>
      <c r="S34" s="49">
        <f>P34-Q34-R34</f>
        <v/>
      </c>
      <c r="T34" s="49">
        <f>T33+S34</f>
        <v/>
      </c>
    </row>
    <row r="35" ht="15" customHeight="1">
      <c r="A35" s="51" t="n">
        <v>32</v>
      </c>
      <c r="B35" s="52">
        <f>INT((A35-1)/12)+1</f>
        <v/>
      </c>
      <c r="C35" s="8" t="inlineStr">
        <is>
          <t>Agosto</t>
        </is>
      </c>
      <c r="D35" s="55" t="n">
        <v>10</v>
      </c>
      <c r="E35" s="47" t="n">
        <v>8333</v>
      </c>
      <c r="F35" s="47" t="n">
        <v>3250</v>
      </c>
      <c r="G35" s="53">
        <f>D35*Parâmetros!$B$4*Parâmetros!$B$8</f>
        <v/>
      </c>
      <c r="H35" s="53">
        <f>SUMPRODUCT(($D$4:D34)*($A$4:A34&gt;=(A35-Parâmetros!$B$10)))*Parâmetros!$B$11</f>
        <v/>
      </c>
      <c r="I35" s="56">
        <f>G35+H35</f>
        <v/>
      </c>
      <c r="J35" s="53">
        <f>D35*Parâmetros!$B$4*Parâmetros!$B$13</f>
        <v/>
      </c>
      <c r="K35" s="53">
        <f>Parâmetros!$B$6*Parâmetros!$B$14/48</f>
        <v/>
      </c>
      <c r="L35" s="53">
        <f>(E35+F35+J35+K35)*Parâmetros!$B$16</f>
        <v/>
      </c>
      <c r="M35" s="50">
        <f>E35+F35+J35+K35+L35</f>
        <v/>
      </c>
      <c r="N35" s="54">
        <f>I35-M35</f>
        <v/>
      </c>
      <c r="O35" s="53">
        <f>MAX(0,N35)*Parâmetros!$B$19</f>
        <v/>
      </c>
      <c r="P35" s="54">
        <f>N35-O35</f>
        <v/>
      </c>
      <c r="Q35" s="53">
        <f>I35*Parâmetros!$B$17</f>
        <v/>
      </c>
      <c r="R35" s="53">
        <f>MAX(0,-T34)*Parâmetros!$B$22</f>
        <v/>
      </c>
      <c r="S35" s="54">
        <f>P35-Q35-R35</f>
        <v/>
      </c>
      <c r="T35" s="54">
        <f>T34+S35</f>
        <v/>
      </c>
    </row>
    <row r="36" ht="15" customHeight="1">
      <c r="A36" s="45" t="n">
        <v>33</v>
      </c>
      <c r="B36" s="46">
        <f>INT((A36-1)/12)+1</f>
        <v/>
      </c>
      <c r="C36" s="5" t="inlineStr">
        <is>
          <t>Setembro</t>
        </is>
      </c>
      <c r="D36" s="55" t="n">
        <v>10</v>
      </c>
      <c r="E36" s="47" t="n">
        <v>8333</v>
      </c>
      <c r="F36" s="47" t="n">
        <v>3250</v>
      </c>
      <c r="G36" s="48">
        <f>D36*Parâmetros!$B$4*Parâmetros!$B$8</f>
        <v/>
      </c>
      <c r="H36" s="48">
        <f>SUMPRODUCT(($D$4:D35)*($A$4:A35&gt;=(A36-Parâmetros!$B$10)))*Parâmetros!$B$11</f>
        <v/>
      </c>
      <c r="I36" s="56">
        <f>G36+H36</f>
        <v/>
      </c>
      <c r="J36" s="48">
        <f>D36*Parâmetros!$B$4*Parâmetros!$B$13</f>
        <v/>
      </c>
      <c r="K36" s="48">
        <f>Parâmetros!$B$6*Parâmetros!$B$14/48</f>
        <v/>
      </c>
      <c r="L36" s="48">
        <f>(E36+F36+J36+K36)*Parâmetros!$B$16</f>
        <v/>
      </c>
      <c r="M36" s="50">
        <f>E36+F36+J36+K36+L36</f>
        <v/>
      </c>
      <c r="N36" s="49">
        <f>I36-M36</f>
        <v/>
      </c>
      <c r="O36" s="48">
        <f>MAX(0,N36)*Parâmetros!$B$19</f>
        <v/>
      </c>
      <c r="P36" s="49">
        <f>N36-O36</f>
        <v/>
      </c>
      <c r="Q36" s="48">
        <f>I36*Parâmetros!$B$17</f>
        <v/>
      </c>
      <c r="R36" s="48">
        <f>MAX(0,-T35)*Parâmetros!$B$22</f>
        <v/>
      </c>
      <c r="S36" s="49">
        <f>P36-Q36-R36</f>
        <v/>
      </c>
      <c r="T36" s="49">
        <f>T35+S36</f>
        <v/>
      </c>
    </row>
    <row r="37" ht="15" customHeight="1">
      <c r="A37" s="51" t="n">
        <v>34</v>
      </c>
      <c r="B37" s="52">
        <f>INT((A37-1)/12)+1</f>
        <v/>
      </c>
      <c r="C37" s="8" t="inlineStr">
        <is>
          <t>Outubro</t>
        </is>
      </c>
      <c r="D37" s="55" t="n">
        <v>10</v>
      </c>
      <c r="E37" s="47" t="n">
        <v>8333</v>
      </c>
      <c r="F37" s="47" t="n">
        <v>3250</v>
      </c>
      <c r="G37" s="53">
        <f>D37*Parâmetros!$B$4*Parâmetros!$B$8</f>
        <v/>
      </c>
      <c r="H37" s="53">
        <f>SUMPRODUCT(($D$4:D36)*($A$4:A36&gt;=(A37-Parâmetros!$B$10)))*Parâmetros!$B$11</f>
        <v/>
      </c>
      <c r="I37" s="56">
        <f>G37+H37</f>
        <v/>
      </c>
      <c r="J37" s="53">
        <f>D37*Parâmetros!$B$4*Parâmetros!$B$13</f>
        <v/>
      </c>
      <c r="K37" s="53">
        <f>Parâmetros!$B$6*Parâmetros!$B$14/48</f>
        <v/>
      </c>
      <c r="L37" s="53">
        <f>(E37+F37+J37+K37)*Parâmetros!$B$16</f>
        <v/>
      </c>
      <c r="M37" s="50">
        <f>E37+F37+J37+K37+L37</f>
        <v/>
      </c>
      <c r="N37" s="54">
        <f>I37-M37</f>
        <v/>
      </c>
      <c r="O37" s="53">
        <f>MAX(0,N37)*Parâmetros!$B$19</f>
        <v/>
      </c>
      <c r="P37" s="54">
        <f>N37-O37</f>
        <v/>
      </c>
      <c r="Q37" s="53">
        <f>I37*Parâmetros!$B$17</f>
        <v/>
      </c>
      <c r="R37" s="53">
        <f>MAX(0,-T36)*Parâmetros!$B$22</f>
        <v/>
      </c>
      <c r="S37" s="54">
        <f>P37-Q37-R37</f>
        <v/>
      </c>
      <c r="T37" s="54">
        <f>T36+S37</f>
        <v/>
      </c>
    </row>
    <row r="38" ht="15" customHeight="1">
      <c r="A38" s="45" t="n">
        <v>35</v>
      </c>
      <c r="B38" s="46">
        <f>INT((A38-1)/12)+1</f>
        <v/>
      </c>
      <c r="C38" s="5" t="inlineStr">
        <is>
          <t>Novembro</t>
        </is>
      </c>
      <c r="D38" s="55" t="n">
        <v>10</v>
      </c>
      <c r="E38" s="47" t="n">
        <v>8333</v>
      </c>
      <c r="F38" s="47" t="n">
        <v>3250</v>
      </c>
      <c r="G38" s="48">
        <f>D38*Parâmetros!$B$4*Parâmetros!$B$8</f>
        <v/>
      </c>
      <c r="H38" s="48">
        <f>SUMPRODUCT(($D$4:D37)*($A$4:A37&gt;=(A38-Parâmetros!$B$10)))*Parâmetros!$B$11</f>
        <v/>
      </c>
      <c r="I38" s="56">
        <f>G38+H38</f>
        <v/>
      </c>
      <c r="J38" s="48">
        <f>D38*Parâmetros!$B$4*Parâmetros!$B$13</f>
        <v/>
      </c>
      <c r="K38" s="48">
        <f>Parâmetros!$B$6*Parâmetros!$B$14/48</f>
        <v/>
      </c>
      <c r="L38" s="48">
        <f>(E38+F38+J38+K38)*Parâmetros!$B$16</f>
        <v/>
      </c>
      <c r="M38" s="50">
        <f>E38+F38+J38+K38+L38</f>
        <v/>
      </c>
      <c r="N38" s="49">
        <f>I38-M38</f>
        <v/>
      </c>
      <c r="O38" s="48">
        <f>MAX(0,N38)*Parâmetros!$B$19</f>
        <v/>
      </c>
      <c r="P38" s="49">
        <f>N38-O38</f>
        <v/>
      </c>
      <c r="Q38" s="48">
        <f>I38*Parâmetros!$B$17</f>
        <v/>
      </c>
      <c r="R38" s="48">
        <f>MAX(0,-T37)*Parâmetros!$B$22</f>
        <v/>
      </c>
      <c r="S38" s="49">
        <f>P38-Q38-R38</f>
        <v/>
      </c>
      <c r="T38" s="49">
        <f>T37+S38</f>
        <v/>
      </c>
    </row>
    <row r="39" ht="15" customHeight="1">
      <c r="A39" s="51" t="n">
        <v>36</v>
      </c>
      <c r="B39" s="52">
        <f>INT((A39-1)/12)+1</f>
        <v/>
      </c>
      <c r="C39" s="8" t="inlineStr">
        <is>
          <t>Dezembro</t>
        </is>
      </c>
      <c r="D39" s="55" t="n">
        <v>10</v>
      </c>
      <c r="E39" s="47" t="n">
        <v>8333</v>
      </c>
      <c r="F39" s="47" t="n">
        <v>3250</v>
      </c>
      <c r="G39" s="53">
        <f>D39*Parâmetros!$B$4*Parâmetros!$B$8</f>
        <v/>
      </c>
      <c r="H39" s="53">
        <f>SUMPRODUCT(($D$4:D38)*($A$4:A38&gt;=(A39-Parâmetros!$B$10)))*Parâmetros!$B$11</f>
        <v/>
      </c>
      <c r="I39" s="56">
        <f>G39+H39</f>
        <v/>
      </c>
      <c r="J39" s="53">
        <f>D39*Parâmetros!$B$4*Parâmetros!$B$13</f>
        <v/>
      </c>
      <c r="K39" s="53">
        <f>Parâmetros!$B$6*Parâmetros!$B$14/48</f>
        <v/>
      </c>
      <c r="L39" s="53">
        <f>(E39+F39+J39+K39)*Parâmetros!$B$16</f>
        <v/>
      </c>
      <c r="M39" s="50">
        <f>E39+F39+J39+K39+L39</f>
        <v/>
      </c>
      <c r="N39" s="54">
        <f>I39-M39</f>
        <v/>
      </c>
      <c r="O39" s="53">
        <f>MAX(0,N39)*Parâmetros!$B$19</f>
        <v/>
      </c>
      <c r="P39" s="54">
        <f>N39-O39</f>
        <v/>
      </c>
      <c r="Q39" s="53">
        <f>I39*Parâmetros!$B$17</f>
        <v/>
      </c>
      <c r="R39" s="53">
        <f>MAX(0,-T38)*Parâmetros!$B$22</f>
        <v/>
      </c>
      <c r="S39" s="54">
        <f>P39-Q39-R39</f>
        <v/>
      </c>
      <c r="T39" s="54">
        <f>T38+S39</f>
        <v/>
      </c>
    </row>
    <row r="40" ht="15" customHeight="1">
      <c r="A40" s="45" t="n">
        <v>37</v>
      </c>
      <c r="B40" s="46">
        <f>INT((A40-1)/12)+1</f>
        <v/>
      </c>
      <c r="C40" s="5" t="inlineStr">
        <is>
          <t>Janeiro</t>
        </is>
      </c>
      <c r="D40" s="46" t="n">
        <v>0</v>
      </c>
      <c r="E40" s="47" t="n">
        <v>8333</v>
      </c>
      <c r="F40" s="47" t="n">
        <v>3250</v>
      </c>
      <c r="G40" s="48">
        <f>D40*Parâmetros!$B$4*Parâmetros!$B$8</f>
        <v/>
      </c>
      <c r="H40" s="48">
        <f>SUMPRODUCT(($D$4:D39)*($A$4:A39&gt;=(A40-Parâmetros!$B$10)))*Parâmetros!$B$11</f>
        <v/>
      </c>
      <c r="I40" s="49">
        <f>G40+H40</f>
        <v/>
      </c>
      <c r="J40" s="48">
        <f>D40*Parâmetros!$B$4*Parâmetros!$B$13</f>
        <v/>
      </c>
      <c r="K40" s="48">
        <f>Parâmetros!$B$6*Parâmetros!$B$14/48</f>
        <v/>
      </c>
      <c r="L40" s="48">
        <f>(E40+F40+J40+K40)*Parâmetros!$B$16</f>
        <v/>
      </c>
      <c r="M40" s="50">
        <f>E40+F40+J40+K40+L40</f>
        <v/>
      </c>
      <c r="N40" s="49">
        <f>I40-M40</f>
        <v/>
      </c>
      <c r="O40" s="48">
        <f>MAX(0,N40)*Parâmetros!$B$19</f>
        <v/>
      </c>
      <c r="P40" s="49">
        <f>N40-O40</f>
        <v/>
      </c>
      <c r="Q40" s="48">
        <f>I40*Parâmetros!$B$17</f>
        <v/>
      </c>
      <c r="R40" s="48">
        <f>MAX(0,-T39)*Parâmetros!$B$22</f>
        <v/>
      </c>
      <c r="S40" s="49">
        <f>P40-Q40-R40</f>
        <v/>
      </c>
      <c r="T40" s="49">
        <f>T39+S40</f>
        <v/>
      </c>
    </row>
    <row r="41" ht="15" customHeight="1">
      <c r="A41" s="51" t="n">
        <v>38</v>
      </c>
      <c r="B41" s="52">
        <f>INT((A41-1)/12)+1</f>
        <v/>
      </c>
      <c r="C41" s="8" t="inlineStr">
        <is>
          <t>Fevereiro</t>
        </is>
      </c>
      <c r="D41" s="52" t="n">
        <v>0</v>
      </c>
      <c r="E41" s="47" t="n">
        <v>8333</v>
      </c>
      <c r="F41" s="47" t="n">
        <v>3250</v>
      </c>
      <c r="G41" s="53">
        <f>D41*Parâmetros!$B$4*Parâmetros!$B$8</f>
        <v/>
      </c>
      <c r="H41" s="53">
        <f>SUMPRODUCT(($D$4:D40)*($A$4:A40&gt;=(A41-Parâmetros!$B$10)))*Parâmetros!$B$11</f>
        <v/>
      </c>
      <c r="I41" s="54">
        <f>G41+H41</f>
        <v/>
      </c>
      <c r="J41" s="53">
        <f>D41*Parâmetros!$B$4*Parâmetros!$B$13</f>
        <v/>
      </c>
      <c r="K41" s="53">
        <f>Parâmetros!$B$6*Parâmetros!$B$14/48</f>
        <v/>
      </c>
      <c r="L41" s="53">
        <f>(E41+F41+J41+K41)*Parâmetros!$B$16</f>
        <v/>
      </c>
      <c r="M41" s="50">
        <f>E41+F41+J41+K41+L41</f>
        <v/>
      </c>
      <c r="N41" s="54">
        <f>I41-M41</f>
        <v/>
      </c>
      <c r="O41" s="53">
        <f>MAX(0,N41)*Parâmetros!$B$19</f>
        <v/>
      </c>
      <c r="P41" s="54">
        <f>N41-O41</f>
        <v/>
      </c>
      <c r="Q41" s="53">
        <f>I41*Parâmetros!$B$17</f>
        <v/>
      </c>
      <c r="R41" s="53">
        <f>MAX(0,-T40)*Parâmetros!$B$22</f>
        <v/>
      </c>
      <c r="S41" s="54">
        <f>P41-Q41-R41</f>
        <v/>
      </c>
      <c r="T41" s="54">
        <f>T40+S41</f>
        <v/>
      </c>
    </row>
    <row r="42" ht="15" customHeight="1">
      <c r="A42" s="45" t="n">
        <v>39</v>
      </c>
      <c r="B42" s="46">
        <f>INT((A42-1)/12)+1</f>
        <v/>
      </c>
      <c r="C42" s="5" t="inlineStr">
        <is>
          <t>Março</t>
        </is>
      </c>
      <c r="D42" s="46" t="n">
        <v>0</v>
      </c>
      <c r="E42" s="47" t="n">
        <v>8333</v>
      </c>
      <c r="F42" s="47" t="n">
        <v>3250</v>
      </c>
      <c r="G42" s="48">
        <f>D42*Parâmetros!$B$4*Parâmetros!$B$8</f>
        <v/>
      </c>
      <c r="H42" s="48">
        <f>SUMPRODUCT(($D$4:D41)*($A$4:A41&gt;=(A42-Parâmetros!$B$10)))*Parâmetros!$B$11</f>
        <v/>
      </c>
      <c r="I42" s="49">
        <f>G42+H42</f>
        <v/>
      </c>
      <c r="J42" s="48">
        <f>D42*Parâmetros!$B$4*Parâmetros!$B$13</f>
        <v/>
      </c>
      <c r="K42" s="48">
        <f>Parâmetros!$B$6*Parâmetros!$B$14/48</f>
        <v/>
      </c>
      <c r="L42" s="48">
        <f>(E42+F42+J42+K42)*Parâmetros!$B$16</f>
        <v/>
      </c>
      <c r="M42" s="50">
        <f>E42+F42+J42+K42+L42</f>
        <v/>
      </c>
      <c r="N42" s="49">
        <f>I42-M42</f>
        <v/>
      </c>
      <c r="O42" s="48">
        <f>MAX(0,N42)*Parâmetros!$B$19</f>
        <v/>
      </c>
      <c r="P42" s="49">
        <f>N42-O42</f>
        <v/>
      </c>
      <c r="Q42" s="48">
        <f>I42*Parâmetros!$B$17</f>
        <v/>
      </c>
      <c r="R42" s="48">
        <f>MAX(0,-T41)*Parâmetros!$B$22</f>
        <v/>
      </c>
      <c r="S42" s="49">
        <f>P42-Q42-R42</f>
        <v/>
      </c>
      <c r="T42" s="49">
        <f>T41+S42</f>
        <v/>
      </c>
    </row>
    <row r="43" ht="15" customHeight="1">
      <c r="A43" s="51" t="n">
        <v>40</v>
      </c>
      <c r="B43" s="52">
        <f>INT((A43-1)/12)+1</f>
        <v/>
      </c>
      <c r="C43" s="8" t="inlineStr">
        <is>
          <t>Abril</t>
        </is>
      </c>
      <c r="D43" s="52" t="n">
        <v>0</v>
      </c>
      <c r="E43" s="47" t="n">
        <v>8333</v>
      </c>
      <c r="F43" s="47" t="n">
        <v>3250</v>
      </c>
      <c r="G43" s="53">
        <f>D43*Parâmetros!$B$4*Parâmetros!$B$8</f>
        <v/>
      </c>
      <c r="H43" s="53">
        <f>SUMPRODUCT(($D$4:D42)*($A$4:A42&gt;=(A43-Parâmetros!$B$10)))*Parâmetros!$B$11</f>
        <v/>
      </c>
      <c r="I43" s="54">
        <f>G43+H43</f>
        <v/>
      </c>
      <c r="J43" s="53">
        <f>D43*Parâmetros!$B$4*Parâmetros!$B$13</f>
        <v/>
      </c>
      <c r="K43" s="53">
        <f>Parâmetros!$B$6*Parâmetros!$B$14/48</f>
        <v/>
      </c>
      <c r="L43" s="53">
        <f>(E43+F43+J43+K43)*Parâmetros!$B$16</f>
        <v/>
      </c>
      <c r="M43" s="50">
        <f>E43+F43+J43+K43+L43</f>
        <v/>
      </c>
      <c r="N43" s="54">
        <f>I43-M43</f>
        <v/>
      </c>
      <c r="O43" s="53">
        <f>MAX(0,N43)*Parâmetros!$B$19</f>
        <v/>
      </c>
      <c r="P43" s="54">
        <f>N43-O43</f>
        <v/>
      </c>
      <c r="Q43" s="53">
        <f>I43*Parâmetros!$B$17</f>
        <v/>
      </c>
      <c r="R43" s="53">
        <f>MAX(0,-T42)*Parâmetros!$B$22</f>
        <v/>
      </c>
      <c r="S43" s="54">
        <f>P43-Q43-R43</f>
        <v/>
      </c>
      <c r="T43" s="54">
        <f>T42+S43</f>
        <v/>
      </c>
    </row>
    <row r="44" ht="15" customHeight="1">
      <c r="A44" s="45" t="n">
        <v>41</v>
      </c>
      <c r="B44" s="46">
        <f>INT((A44-1)/12)+1</f>
        <v/>
      </c>
      <c r="C44" s="5" t="inlineStr">
        <is>
          <t>Maio</t>
        </is>
      </c>
      <c r="D44" s="46" t="n">
        <v>0</v>
      </c>
      <c r="E44" s="47" t="n">
        <v>8333</v>
      </c>
      <c r="F44" s="47" t="n">
        <v>3250</v>
      </c>
      <c r="G44" s="48">
        <f>D44*Parâmetros!$B$4*Parâmetros!$B$8</f>
        <v/>
      </c>
      <c r="H44" s="48">
        <f>SUMPRODUCT(($D$4:D43)*($A$4:A43&gt;=(A44-Parâmetros!$B$10)))*Parâmetros!$B$11</f>
        <v/>
      </c>
      <c r="I44" s="49">
        <f>G44+H44</f>
        <v/>
      </c>
      <c r="J44" s="48">
        <f>D44*Parâmetros!$B$4*Parâmetros!$B$13</f>
        <v/>
      </c>
      <c r="K44" s="48">
        <f>Parâmetros!$B$6*Parâmetros!$B$14/48</f>
        <v/>
      </c>
      <c r="L44" s="48">
        <f>(E44+F44+J44+K44)*Parâmetros!$B$16</f>
        <v/>
      </c>
      <c r="M44" s="50">
        <f>E44+F44+J44+K44+L44</f>
        <v/>
      </c>
      <c r="N44" s="49">
        <f>I44-M44</f>
        <v/>
      </c>
      <c r="O44" s="48">
        <f>MAX(0,N44)*Parâmetros!$B$19</f>
        <v/>
      </c>
      <c r="P44" s="49">
        <f>N44-O44</f>
        <v/>
      </c>
      <c r="Q44" s="48">
        <f>I44*Parâmetros!$B$17</f>
        <v/>
      </c>
      <c r="R44" s="48">
        <f>MAX(0,-T43)*Parâmetros!$B$22</f>
        <v/>
      </c>
      <c r="S44" s="49">
        <f>P44-Q44-R44</f>
        <v/>
      </c>
      <c r="T44" s="49">
        <f>T43+S44</f>
        <v/>
      </c>
    </row>
    <row r="45" ht="15" customHeight="1">
      <c r="A45" s="51" t="n">
        <v>42</v>
      </c>
      <c r="B45" s="52">
        <f>INT((A45-1)/12)+1</f>
        <v/>
      </c>
      <c r="C45" s="8" t="inlineStr">
        <is>
          <t>Junho</t>
        </is>
      </c>
      <c r="D45" s="52" t="n">
        <v>0</v>
      </c>
      <c r="E45" s="47" t="n">
        <v>8333</v>
      </c>
      <c r="F45" s="47" t="n">
        <v>3250</v>
      </c>
      <c r="G45" s="53">
        <f>D45*Parâmetros!$B$4*Parâmetros!$B$8</f>
        <v/>
      </c>
      <c r="H45" s="53">
        <f>SUMPRODUCT(($D$4:D44)*($A$4:A44&gt;=(A45-Parâmetros!$B$10)))*Parâmetros!$B$11</f>
        <v/>
      </c>
      <c r="I45" s="54">
        <f>G45+H45</f>
        <v/>
      </c>
      <c r="J45" s="53">
        <f>D45*Parâmetros!$B$4*Parâmetros!$B$13</f>
        <v/>
      </c>
      <c r="K45" s="53">
        <f>Parâmetros!$B$6*Parâmetros!$B$14/48</f>
        <v/>
      </c>
      <c r="L45" s="53">
        <f>(E45+F45+J45+K45)*Parâmetros!$B$16</f>
        <v/>
      </c>
      <c r="M45" s="50">
        <f>E45+F45+J45+K45+L45</f>
        <v/>
      </c>
      <c r="N45" s="54">
        <f>I45-M45</f>
        <v/>
      </c>
      <c r="O45" s="53">
        <f>MAX(0,N45)*Parâmetros!$B$19</f>
        <v/>
      </c>
      <c r="P45" s="54">
        <f>N45-O45</f>
        <v/>
      </c>
      <c r="Q45" s="53">
        <f>I45*Parâmetros!$B$17</f>
        <v/>
      </c>
      <c r="R45" s="53">
        <f>MAX(0,-T44)*Parâmetros!$B$22</f>
        <v/>
      </c>
      <c r="S45" s="54">
        <f>P45-Q45-R45</f>
        <v/>
      </c>
      <c r="T45" s="54">
        <f>T44+S45</f>
        <v/>
      </c>
    </row>
    <row r="46" ht="15" customHeight="1">
      <c r="A46" s="45" t="n">
        <v>43</v>
      </c>
      <c r="B46" s="46">
        <f>INT((A46-1)/12)+1</f>
        <v/>
      </c>
      <c r="C46" s="5" t="inlineStr">
        <is>
          <t>Julho</t>
        </is>
      </c>
      <c r="D46" s="46" t="n">
        <v>0</v>
      </c>
      <c r="E46" s="47" t="n">
        <v>8333</v>
      </c>
      <c r="F46" s="47" t="n">
        <v>3250</v>
      </c>
      <c r="G46" s="48">
        <f>D46*Parâmetros!$B$4*Parâmetros!$B$8</f>
        <v/>
      </c>
      <c r="H46" s="48">
        <f>SUMPRODUCT(($D$4:D45)*($A$4:A45&gt;=(A46-Parâmetros!$B$10)))*Parâmetros!$B$11</f>
        <v/>
      </c>
      <c r="I46" s="49">
        <f>G46+H46</f>
        <v/>
      </c>
      <c r="J46" s="48">
        <f>D46*Parâmetros!$B$4*Parâmetros!$B$13</f>
        <v/>
      </c>
      <c r="K46" s="48">
        <f>Parâmetros!$B$6*Parâmetros!$B$14/48</f>
        <v/>
      </c>
      <c r="L46" s="48">
        <f>(E46+F46+J46+K46)*Parâmetros!$B$16</f>
        <v/>
      </c>
      <c r="M46" s="50">
        <f>E46+F46+J46+K46+L46</f>
        <v/>
      </c>
      <c r="N46" s="49">
        <f>I46-M46</f>
        <v/>
      </c>
      <c r="O46" s="48">
        <f>MAX(0,N46)*Parâmetros!$B$19</f>
        <v/>
      </c>
      <c r="P46" s="49">
        <f>N46-O46</f>
        <v/>
      </c>
      <c r="Q46" s="48">
        <f>I46*Parâmetros!$B$17</f>
        <v/>
      </c>
      <c r="R46" s="48">
        <f>MAX(0,-T45)*Parâmetros!$B$22</f>
        <v/>
      </c>
      <c r="S46" s="49">
        <f>P46-Q46-R46</f>
        <v/>
      </c>
      <c r="T46" s="49">
        <f>T45+S46</f>
        <v/>
      </c>
    </row>
    <row r="47" ht="15" customHeight="1">
      <c r="A47" s="51" t="n">
        <v>44</v>
      </c>
      <c r="B47" s="52">
        <f>INT((A47-1)/12)+1</f>
        <v/>
      </c>
      <c r="C47" s="8" t="inlineStr">
        <is>
          <t>Agosto</t>
        </is>
      </c>
      <c r="D47" s="52" t="n">
        <v>0</v>
      </c>
      <c r="E47" s="47" t="n">
        <v>8333</v>
      </c>
      <c r="F47" s="47" t="n">
        <v>3250</v>
      </c>
      <c r="G47" s="53">
        <f>D47*Parâmetros!$B$4*Parâmetros!$B$8</f>
        <v/>
      </c>
      <c r="H47" s="53">
        <f>SUMPRODUCT(($D$4:D46)*($A$4:A46&gt;=(A47-Parâmetros!$B$10)))*Parâmetros!$B$11</f>
        <v/>
      </c>
      <c r="I47" s="54">
        <f>G47+H47</f>
        <v/>
      </c>
      <c r="J47" s="53">
        <f>D47*Parâmetros!$B$4*Parâmetros!$B$13</f>
        <v/>
      </c>
      <c r="K47" s="53">
        <f>Parâmetros!$B$6*Parâmetros!$B$14/48</f>
        <v/>
      </c>
      <c r="L47" s="53">
        <f>(E47+F47+J47+K47)*Parâmetros!$B$16</f>
        <v/>
      </c>
      <c r="M47" s="50">
        <f>E47+F47+J47+K47+L47</f>
        <v/>
      </c>
      <c r="N47" s="54">
        <f>I47-M47</f>
        <v/>
      </c>
      <c r="O47" s="53">
        <f>MAX(0,N47)*Parâmetros!$B$19</f>
        <v/>
      </c>
      <c r="P47" s="54">
        <f>N47-O47</f>
        <v/>
      </c>
      <c r="Q47" s="53">
        <f>I47*Parâmetros!$B$17</f>
        <v/>
      </c>
      <c r="R47" s="53">
        <f>MAX(0,-T46)*Parâmetros!$B$22</f>
        <v/>
      </c>
      <c r="S47" s="54">
        <f>P47-Q47-R47</f>
        <v/>
      </c>
      <c r="T47" s="54">
        <f>T46+S47</f>
        <v/>
      </c>
    </row>
    <row r="48" ht="15" customHeight="1">
      <c r="A48" s="45" t="n">
        <v>45</v>
      </c>
      <c r="B48" s="46">
        <f>INT((A48-1)/12)+1</f>
        <v/>
      </c>
      <c r="C48" s="5" t="inlineStr">
        <is>
          <t>Setembro</t>
        </is>
      </c>
      <c r="D48" s="46" t="n">
        <v>0</v>
      </c>
      <c r="E48" s="47" t="n">
        <v>8333</v>
      </c>
      <c r="F48" s="47" t="n">
        <v>3250</v>
      </c>
      <c r="G48" s="48">
        <f>D48*Parâmetros!$B$4*Parâmetros!$B$8</f>
        <v/>
      </c>
      <c r="H48" s="48">
        <f>SUMPRODUCT(($D$4:D47)*($A$4:A47&gt;=(A48-Parâmetros!$B$10)))*Parâmetros!$B$11</f>
        <v/>
      </c>
      <c r="I48" s="49">
        <f>G48+H48</f>
        <v/>
      </c>
      <c r="J48" s="48">
        <f>D48*Parâmetros!$B$4*Parâmetros!$B$13</f>
        <v/>
      </c>
      <c r="K48" s="48">
        <f>Parâmetros!$B$6*Parâmetros!$B$14/48</f>
        <v/>
      </c>
      <c r="L48" s="48">
        <f>(E48+F48+J48+K48)*Parâmetros!$B$16</f>
        <v/>
      </c>
      <c r="M48" s="50">
        <f>E48+F48+J48+K48+L48</f>
        <v/>
      </c>
      <c r="N48" s="49">
        <f>I48-M48</f>
        <v/>
      </c>
      <c r="O48" s="48">
        <f>MAX(0,N48)*Parâmetros!$B$19</f>
        <v/>
      </c>
      <c r="P48" s="49">
        <f>N48-O48</f>
        <v/>
      </c>
      <c r="Q48" s="48">
        <f>I48*Parâmetros!$B$17</f>
        <v/>
      </c>
      <c r="R48" s="48">
        <f>MAX(0,-T47)*Parâmetros!$B$22</f>
        <v/>
      </c>
      <c r="S48" s="49">
        <f>P48-Q48-R48</f>
        <v/>
      </c>
      <c r="T48" s="49">
        <f>T47+S48</f>
        <v/>
      </c>
    </row>
    <row r="49" ht="15" customHeight="1">
      <c r="A49" s="51" t="n">
        <v>46</v>
      </c>
      <c r="B49" s="52">
        <f>INT((A49-1)/12)+1</f>
        <v/>
      </c>
      <c r="C49" s="8" t="inlineStr">
        <is>
          <t>Outubro</t>
        </is>
      </c>
      <c r="D49" s="52" t="n">
        <v>0</v>
      </c>
      <c r="E49" s="47" t="n">
        <v>8333</v>
      </c>
      <c r="F49" s="47" t="n">
        <v>3250</v>
      </c>
      <c r="G49" s="53">
        <f>D49*Parâmetros!$B$4*Parâmetros!$B$8</f>
        <v/>
      </c>
      <c r="H49" s="53">
        <f>SUMPRODUCT(($D$4:D48)*($A$4:A48&gt;=(A49-Parâmetros!$B$10)))*Parâmetros!$B$11</f>
        <v/>
      </c>
      <c r="I49" s="54">
        <f>G49+H49</f>
        <v/>
      </c>
      <c r="J49" s="53">
        <f>D49*Parâmetros!$B$4*Parâmetros!$B$13</f>
        <v/>
      </c>
      <c r="K49" s="53">
        <f>Parâmetros!$B$6*Parâmetros!$B$14/48</f>
        <v/>
      </c>
      <c r="L49" s="53">
        <f>(E49+F49+J49+K49)*Parâmetros!$B$16</f>
        <v/>
      </c>
      <c r="M49" s="50">
        <f>E49+F49+J49+K49+L49</f>
        <v/>
      </c>
      <c r="N49" s="54">
        <f>I49-M49</f>
        <v/>
      </c>
      <c r="O49" s="53">
        <f>MAX(0,N49)*Parâmetros!$B$19</f>
        <v/>
      </c>
      <c r="P49" s="54">
        <f>N49-O49</f>
        <v/>
      </c>
      <c r="Q49" s="53">
        <f>I49*Parâmetros!$B$17</f>
        <v/>
      </c>
      <c r="R49" s="53">
        <f>MAX(0,-T48)*Parâmetros!$B$22</f>
        <v/>
      </c>
      <c r="S49" s="54">
        <f>P49-Q49-R49</f>
        <v/>
      </c>
      <c r="T49" s="54">
        <f>T48+S49</f>
        <v/>
      </c>
    </row>
    <row r="50" ht="15" customHeight="1">
      <c r="A50" s="45" t="n">
        <v>47</v>
      </c>
      <c r="B50" s="46">
        <f>INT((A50-1)/12)+1</f>
        <v/>
      </c>
      <c r="C50" s="5" t="inlineStr">
        <is>
          <t>Novembro</t>
        </is>
      </c>
      <c r="D50" s="46" t="n">
        <v>0</v>
      </c>
      <c r="E50" s="47" t="n">
        <v>8333</v>
      </c>
      <c r="F50" s="47" t="n">
        <v>3250</v>
      </c>
      <c r="G50" s="48">
        <f>D50*Parâmetros!$B$4*Parâmetros!$B$8</f>
        <v/>
      </c>
      <c r="H50" s="48">
        <f>SUMPRODUCT(($D$4:D49)*($A$4:A49&gt;=(A50-Parâmetros!$B$10)))*Parâmetros!$B$11</f>
        <v/>
      </c>
      <c r="I50" s="49">
        <f>G50+H50</f>
        <v/>
      </c>
      <c r="J50" s="48">
        <f>D50*Parâmetros!$B$4*Parâmetros!$B$13</f>
        <v/>
      </c>
      <c r="K50" s="48">
        <f>Parâmetros!$B$6*Parâmetros!$B$14/48</f>
        <v/>
      </c>
      <c r="L50" s="48">
        <f>(E50+F50+J50+K50)*Parâmetros!$B$16</f>
        <v/>
      </c>
      <c r="M50" s="50">
        <f>E50+F50+J50+K50+L50</f>
        <v/>
      </c>
      <c r="N50" s="49">
        <f>I50-M50</f>
        <v/>
      </c>
      <c r="O50" s="48">
        <f>MAX(0,N50)*Parâmetros!$B$19</f>
        <v/>
      </c>
      <c r="P50" s="49">
        <f>N50-O50</f>
        <v/>
      </c>
      <c r="Q50" s="48">
        <f>I50*Parâmetros!$B$17</f>
        <v/>
      </c>
      <c r="R50" s="48">
        <f>MAX(0,-T49)*Parâmetros!$B$22</f>
        <v/>
      </c>
      <c r="S50" s="49">
        <f>P50-Q50-R50</f>
        <v/>
      </c>
      <c r="T50" s="49">
        <f>T49+S50</f>
        <v/>
      </c>
    </row>
    <row r="51" ht="15" customHeight="1">
      <c r="A51" s="51" t="n">
        <v>48</v>
      </c>
      <c r="B51" s="52">
        <f>INT((A51-1)/12)+1</f>
        <v/>
      </c>
      <c r="C51" s="8" t="inlineStr">
        <is>
          <t>Dezembro</t>
        </is>
      </c>
      <c r="D51" s="52" t="n">
        <v>0</v>
      </c>
      <c r="E51" s="47" t="n">
        <v>8333</v>
      </c>
      <c r="F51" s="47" t="n">
        <v>3250</v>
      </c>
      <c r="G51" s="53">
        <f>D51*Parâmetros!$B$4*Parâmetros!$B$8</f>
        <v/>
      </c>
      <c r="H51" s="53">
        <f>SUMPRODUCT(($D$4:D50)*($A$4:A50&gt;=(A51-Parâmetros!$B$10)))*Parâmetros!$B$11</f>
        <v/>
      </c>
      <c r="I51" s="54">
        <f>G51+H51</f>
        <v/>
      </c>
      <c r="J51" s="53">
        <f>D51*Parâmetros!$B$4*Parâmetros!$B$13</f>
        <v/>
      </c>
      <c r="K51" s="53">
        <f>Parâmetros!$B$6*Parâmetros!$B$14/48</f>
        <v/>
      </c>
      <c r="L51" s="53">
        <f>(E51+F51+J51+K51)*Parâmetros!$B$16</f>
        <v/>
      </c>
      <c r="M51" s="50">
        <f>E51+F51+J51+K51+L51</f>
        <v/>
      </c>
      <c r="N51" s="54">
        <f>I51-M51</f>
        <v/>
      </c>
      <c r="O51" s="53">
        <f>MAX(0,N51)*Parâmetros!$B$19</f>
        <v/>
      </c>
      <c r="P51" s="54">
        <f>N51-O51</f>
        <v/>
      </c>
      <c r="Q51" s="53">
        <f>I51*Parâmetros!$B$17</f>
        <v/>
      </c>
      <c r="R51" s="53">
        <f>MAX(0,-T50)*Parâmetros!$B$22</f>
        <v/>
      </c>
      <c r="S51" s="54">
        <f>P51-Q51-R51</f>
        <v/>
      </c>
      <c r="T51" s="54">
        <f>T50+S51</f>
        <v/>
      </c>
    </row>
    <row r="52" ht="18" customHeight="1">
      <c r="A52" s="57" t="inlineStr">
        <is>
          <t>TOTAL 48 MESES</t>
        </is>
      </c>
      <c r="D52" s="58">
        <f>SUM(D4:D51)</f>
        <v/>
      </c>
      <c r="E52" s="59">
        <f>SUM(E4:E51)</f>
        <v/>
      </c>
      <c r="F52" s="59">
        <f>SUM(F4:F51)</f>
        <v/>
      </c>
      <c r="G52" s="59">
        <f>SUM(G4:G51)</f>
        <v/>
      </c>
      <c r="H52" s="59">
        <f>SUM(H4:H51)</f>
        <v/>
      </c>
      <c r="I52" s="59">
        <f>SUM(I4:I51)</f>
        <v/>
      </c>
      <c r="J52" s="59">
        <f>SUM(J4:J51)</f>
        <v/>
      </c>
      <c r="K52" s="59">
        <f>SUM(K4:K51)</f>
        <v/>
      </c>
      <c r="L52" s="59">
        <f>SUM(L4:L51)</f>
        <v/>
      </c>
      <c r="M52" s="59">
        <f>SUM(M4:M51)</f>
        <v/>
      </c>
      <c r="N52" s="59">
        <f>SUM(N4:N51)</f>
        <v/>
      </c>
      <c r="O52" s="59">
        <f>SUM(O4:O51)</f>
        <v/>
      </c>
      <c r="P52" s="59">
        <f>SUM(P4:P51)</f>
        <v/>
      </c>
      <c r="Q52" s="59">
        <f>SUM(Q4:Q51)</f>
        <v/>
      </c>
      <c r="R52" s="59">
        <f>SUM(R4:R51)</f>
        <v/>
      </c>
      <c r="S52" s="59">
        <f>SUM(S4:S51)</f>
        <v/>
      </c>
      <c r="T52" s="59">
        <f>T51</f>
        <v/>
      </c>
    </row>
  </sheetData>
  <mergeCells count="8">
    <mergeCell ref="A1:T1"/>
    <mergeCell ref="D2:F2"/>
    <mergeCell ref="G2:I2"/>
    <mergeCell ref="N2:P2"/>
    <mergeCell ref="J2:M2"/>
    <mergeCell ref="Q2:T2"/>
    <mergeCell ref="A2:C2"/>
    <mergeCell ref="A52:C5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2" customWidth="1" min="9" max="9"/>
    <col width="14" customWidth="1" min="10" max="10"/>
    <col width="14" customWidth="1" min="11" max="11"/>
    <col width="13" customWidth="1" min="12" max="12"/>
    <col width="12" customWidth="1" min="13" max="13"/>
    <col width="13" customWidth="1" min="14" max="14"/>
    <col width="14" customWidth="1" min="15" max="15"/>
    <col width="15" customWidth="1" min="16" max="16"/>
  </cols>
  <sheetData>
    <row r="1" ht="24" customHeight="1">
      <c r="A1" s="36" t="inlineStr">
        <is>
          <t>FLUXO DE CAIXA — ANO 1 — Janeiro a Dezembro — LOTEAMENTO PAPAGAIOS/MG</t>
        </is>
      </c>
    </row>
    <row r="2" ht="16" customHeight="1">
      <c r="A2" s="60">
        <f>TEXT(SUMIF(Cronograma!$B$4:Cronograma!$B$51,1,Cronograma!$D$4:Cronograma!$D$51),"#,##0")&amp;" lotes vendidos  |  Receita: "&amp;TEXT(SUMIF(Cronograma!$B$4:Cronograma!$B$51,1,Cronograma!$I$4:Cronograma!$I$51),"R$ #,##0")&amp;"  |  Fluxo Líq.: "&amp;TEXT(SUMIF(Cronograma!$B$4:Cronograma!$B$51,1,Cronograma!$S$4:Cronograma!$S$51),"R$ #,##0")</f>
        <v/>
      </c>
    </row>
    <row r="3" ht="28" customHeight="1">
      <c r="A3" s="41" t="inlineStr">
        <is>
          <t>MÊS</t>
        </is>
      </c>
      <c r="B3" s="41" t="inlineStr">
        <is>
          <t>LOTES
VEND.</t>
        </is>
      </c>
      <c r="C3" s="43" t="inlineStr">
        <is>
          <t>RECEITA
À VISTA</t>
        </is>
      </c>
      <c r="D3" s="43" t="inlineStr">
        <is>
          <t>PARCELAS
RECEB.</t>
        </is>
      </c>
      <c r="E3" s="43" t="inlineStr">
        <is>
          <t>TOTAL
RECEITA</t>
        </is>
      </c>
      <c r="F3" s="44" t="inlineStr">
        <is>
          <t>(-) INFRA-
ESTR.</t>
        </is>
      </c>
      <c r="G3" s="44" t="inlineStr">
        <is>
          <t>(-) CORRE-
TAGEM</t>
        </is>
      </c>
      <c r="H3" s="44" t="inlineStr">
        <is>
          <t>(-) ADMIN
&amp; MKT</t>
        </is>
      </c>
      <c r="I3" s="44" t="inlineStr">
        <is>
          <t>(-) CONTIN-
GÊNC.</t>
        </is>
      </c>
      <c r="J3" s="44" t="inlineStr">
        <is>
          <t>TOTAL
CUSTOS</t>
        </is>
      </c>
      <c r="K3" s="41" t="inlineStr">
        <is>
          <t>RESULT.
BRUTO</t>
        </is>
      </c>
      <c r="L3" s="41" t="inlineStr">
        <is>
          <t>(-) TERR-
ENISTA</t>
        </is>
      </c>
      <c r="M3" s="42" t="inlineStr">
        <is>
          <t>(-) IMPOS-
TOS</t>
        </is>
      </c>
      <c r="N3" s="42" t="inlineStr">
        <is>
          <t>(-) CUSTO
FINANC.</t>
        </is>
      </c>
      <c r="O3" s="42" t="inlineStr">
        <is>
          <t>FLUXO
LÍQUIDO</t>
        </is>
      </c>
      <c r="P3" s="42" t="inlineStr">
        <is>
          <t>FLUXO
ACUMUL.</t>
        </is>
      </c>
    </row>
    <row r="4" ht="15" customHeight="1">
      <c r="A4" s="61">
        <f>Cronograma!C4</f>
        <v/>
      </c>
      <c r="B4" s="62">
        <f>Cronograma!D4</f>
        <v/>
      </c>
      <c r="C4" s="9">
        <f>Cronograma!G4</f>
        <v/>
      </c>
      <c r="D4" s="9">
        <f>Cronograma!H4</f>
        <v/>
      </c>
      <c r="E4" s="63">
        <f>Cronograma!I4</f>
        <v/>
      </c>
      <c r="F4" s="9">
        <f>Cronograma!E4</f>
        <v/>
      </c>
      <c r="G4" s="9">
        <f>Cronograma!J4</f>
        <v/>
      </c>
      <c r="H4" s="9">
        <f>Cronograma!F4+Cronograma!K4</f>
        <v/>
      </c>
      <c r="I4" s="9">
        <f>Cronograma!L4</f>
        <v/>
      </c>
      <c r="J4" s="64">
        <f>Cronograma!M4</f>
        <v/>
      </c>
      <c r="K4" s="64">
        <f>Cronograma!N4</f>
        <v/>
      </c>
      <c r="L4" s="9">
        <f>Cronograma!O4</f>
        <v/>
      </c>
      <c r="M4" s="9">
        <f>Cronograma!Q4</f>
        <v/>
      </c>
      <c r="N4" s="9">
        <f>Cronograma!R4</f>
        <v/>
      </c>
      <c r="O4" s="64">
        <f>Cronograma!S4</f>
        <v/>
      </c>
      <c r="P4" s="64">
        <f>Cronograma!T4</f>
        <v/>
      </c>
    </row>
    <row r="5" ht="15" customHeight="1">
      <c r="A5" s="65">
        <f>Cronograma!C5</f>
        <v/>
      </c>
      <c r="B5" s="66">
        <f>Cronograma!D5</f>
        <v/>
      </c>
      <c r="C5" s="11">
        <f>Cronograma!G5</f>
        <v/>
      </c>
      <c r="D5" s="11">
        <f>Cronograma!H5</f>
        <v/>
      </c>
      <c r="E5" s="63">
        <f>Cronograma!I5</f>
        <v/>
      </c>
      <c r="F5" s="11">
        <f>Cronograma!E5</f>
        <v/>
      </c>
      <c r="G5" s="11">
        <f>Cronograma!J5</f>
        <v/>
      </c>
      <c r="H5" s="11">
        <f>Cronograma!F5+Cronograma!K5</f>
        <v/>
      </c>
      <c r="I5" s="11">
        <f>Cronograma!L5</f>
        <v/>
      </c>
      <c r="J5" s="67">
        <f>Cronograma!M5</f>
        <v/>
      </c>
      <c r="K5" s="67">
        <f>Cronograma!N5</f>
        <v/>
      </c>
      <c r="L5" s="11">
        <f>Cronograma!O5</f>
        <v/>
      </c>
      <c r="M5" s="11">
        <f>Cronograma!Q5</f>
        <v/>
      </c>
      <c r="N5" s="11">
        <f>Cronograma!R5</f>
        <v/>
      </c>
      <c r="O5" s="67">
        <f>Cronograma!S5</f>
        <v/>
      </c>
      <c r="P5" s="67">
        <f>Cronograma!T5</f>
        <v/>
      </c>
    </row>
    <row r="6" ht="15" customHeight="1">
      <c r="A6" s="61">
        <f>Cronograma!C6</f>
        <v/>
      </c>
      <c r="B6" s="62">
        <f>Cronograma!D6</f>
        <v/>
      </c>
      <c r="C6" s="9">
        <f>Cronograma!G6</f>
        <v/>
      </c>
      <c r="D6" s="9">
        <f>Cronograma!H6</f>
        <v/>
      </c>
      <c r="E6" s="63">
        <f>Cronograma!I6</f>
        <v/>
      </c>
      <c r="F6" s="9">
        <f>Cronograma!E6</f>
        <v/>
      </c>
      <c r="G6" s="9">
        <f>Cronograma!J6</f>
        <v/>
      </c>
      <c r="H6" s="9">
        <f>Cronograma!F6+Cronograma!K6</f>
        <v/>
      </c>
      <c r="I6" s="9">
        <f>Cronograma!L6</f>
        <v/>
      </c>
      <c r="J6" s="64">
        <f>Cronograma!M6</f>
        <v/>
      </c>
      <c r="K6" s="64">
        <f>Cronograma!N6</f>
        <v/>
      </c>
      <c r="L6" s="9">
        <f>Cronograma!O6</f>
        <v/>
      </c>
      <c r="M6" s="9">
        <f>Cronograma!Q6</f>
        <v/>
      </c>
      <c r="N6" s="9">
        <f>Cronograma!R6</f>
        <v/>
      </c>
      <c r="O6" s="64">
        <f>Cronograma!S6</f>
        <v/>
      </c>
      <c r="P6" s="64">
        <f>Cronograma!T6</f>
        <v/>
      </c>
    </row>
    <row r="7" ht="15" customHeight="1">
      <c r="A7" s="65">
        <f>Cronograma!C7</f>
        <v/>
      </c>
      <c r="B7" s="66">
        <f>Cronograma!D7</f>
        <v/>
      </c>
      <c r="C7" s="11">
        <f>Cronograma!G7</f>
        <v/>
      </c>
      <c r="D7" s="11">
        <f>Cronograma!H7</f>
        <v/>
      </c>
      <c r="E7" s="63">
        <f>Cronograma!I7</f>
        <v/>
      </c>
      <c r="F7" s="11">
        <f>Cronograma!E7</f>
        <v/>
      </c>
      <c r="G7" s="11">
        <f>Cronograma!J7</f>
        <v/>
      </c>
      <c r="H7" s="11">
        <f>Cronograma!F7+Cronograma!K7</f>
        <v/>
      </c>
      <c r="I7" s="11">
        <f>Cronograma!L7</f>
        <v/>
      </c>
      <c r="J7" s="67">
        <f>Cronograma!M7</f>
        <v/>
      </c>
      <c r="K7" s="67">
        <f>Cronograma!N7</f>
        <v/>
      </c>
      <c r="L7" s="11">
        <f>Cronograma!O7</f>
        <v/>
      </c>
      <c r="M7" s="11">
        <f>Cronograma!Q7</f>
        <v/>
      </c>
      <c r="N7" s="11">
        <f>Cronograma!R7</f>
        <v/>
      </c>
      <c r="O7" s="67">
        <f>Cronograma!S7</f>
        <v/>
      </c>
      <c r="P7" s="67">
        <f>Cronograma!T7</f>
        <v/>
      </c>
    </row>
    <row r="8" ht="15" customHeight="1">
      <c r="A8" s="61">
        <f>Cronograma!C8</f>
        <v/>
      </c>
      <c r="B8" s="62">
        <f>Cronograma!D8</f>
        <v/>
      </c>
      <c r="C8" s="9">
        <f>Cronograma!G8</f>
        <v/>
      </c>
      <c r="D8" s="9">
        <f>Cronograma!H8</f>
        <v/>
      </c>
      <c r="E8" s="63">
        <f>Cronograma!I8</f>
        <v/>
      </c>
      <c r="F8" s="9">
        <f>Cronograma!E8</f>
        <v/>
      </c>
      <c r="G8" s="9">
        <f>Cronograma!J8</f>
        <v/>
      </c>
      <c r="H8" s="9">
        <f>Cronograma!F8+Cronograma!K8</f>
        <v/>
      </c>
      <c r="I8" s="9">
        <f>Cronograma!L8</f>
        <v/>
      </c>
      <c r="J8" s="64">
        <f>Cronograma!M8</f>
        <v/>
      </c>
      <c r="K8" s="64">
        <f>Cronograma!N8</f>
        <v/>
      </c>
      <c r="L8" s="9">
        <f>Cronograma!O8</f>
        <v/>
      </c>
      <c r="M8" s="9">
        <f>Cronograma!Q8</f>
        <v/>
      </c>
      <c r="N8" s="9">
        <f>Cronograma!R8</f>
        <v/>
      </c>
      <c r="O8" s="64">
        <f>Cronograma!S8</f>
        <v/>
      </c>
      <c r="P8" s="64">
        <f>Cronograma!T8</f>
        <v/>
      </c>
    </row>
    <row r="9" ht="15" customHeight="1">
      <c r="A9" s="65">
        <f>Cronograma!C9</f>
        <v/>
      </c>
      <c r="B9" s="66">
        <f>Cronograma!D9</f>
        <v/>
      </c>
      <c r="C9" s="11">
        <f>Cronograma!G9</f>
        <v/>
      </c>
      <c r="D9" s="11">
        <f>Cronograma!H9</f>
        <v/>
      </c>
      <c r="E9" s="63">
        <f>Cronograma!I9</f>
        <v/>
      </c>
      <c r="F9" s="11">
        <f>Cronograma!E9</f>
        <v/>
      </c>
      <c r="G9" s="11">
        <f>Cronograma!J9</f>
        <v/>
      </c>
      <c r="H9" s="11">
        <f>Cronograma!F9+Cronograma!K9</f>
        <v/>
      </c>
      <c r="I9" s="11">
        <f>Cronograma!L9</f>
        <v/>
      </c>
      <c r="J9" s="67">
        <f>Cronograma!M9</f>
        <v/>
      </c>
      <c r="K9" s="67">
        <f>Cronograma!N9</f>
        <v/>
      </c>
      <c r="L9" s="11">
        <f>Cronograma!O9</f>
        <v/>
      </c>
      <c r="M9" s="11">
        <f>Cronograma!Q9</f>
        <v/>
      </c>
      <c r="N9" s="11">
        <f>Cronograma!R9</f>
        <v/>
      </c>
      <c r="O9" s="67">
        <f>Cronograma!S9</f>
        <v/>
      </c>
      <c r="P9" s="67">
        <f>Cronograma!T9</f>
        <v/>
      </c>
    </row>
    <row r="10" ht="15" customHeight="1">
      <c r="A10" s="61">
        <f>Cronograma!C10</f>
        <v/>
      </c>
      <c r="B10" s="62">
        <f>Cronograma!D10</f>
        <v/>
      </c>
      <c r="C10" s="9">
        <f>Cronograma!G10</f>
        <v/>
      </c>
      <c r="D10" s="9">
        <f>Cronograma!H10</f>
        <v/>
      </c>
      <c r="E10" s="63">
        <f>Cronograma!I10</f>
        <v/>
      </c>
      <c r="F10" s="9">
        <f>Cronograma!E10</f>
        <v/>
      </c>
      <c r="G10" s="9">
        <f>Cronograma!J10</f>
        <v/>
      </c>
      <c r="H10" s="9">
        <f>Cronograma!F10+Cronograma!K10</f>
        <v/>
      </c>
      <c r="I10" s="9">
        <f>Cronograma!L10</f>
        <v/>
      </c>
      <c r="J10" s="64">
        <f>Cronograma!M10</f>
        <v/>
      </c>
      <c r="K10" s="64">
        <f>Cronograma!N10</f>
        <v/>
      </c>
      <c r="L10" s="9">
        <f>Cronograma!O10</f>
        <v/>
      </c>
      <c r="M10" s="9">
        <f>Cronograma!Q10</f>
        <v/>
      </c>
      <c r="N10" s="9">
        <f>Cronograma!R10</f>
        <v/>
      </c>
      <c r="O10" s="64">
        <f>Cronograma!S10</f>
        <v/>
      </c>
      <c r="P10" s="64">
        <f>Cronograma!T10</f>
        <v/>
      </c>
    </row>
    <row r="11" ht="15" customHeight="1">
      <c r="A11" s="65">
        <f>Cronograma!C11</f>
        <v/>
      </c>
      <c r="B11" s="66">
        <f>Cronograma!D11</f>
        <v/>
      </c>
      <c r="C11" s="11">
        <f>Cronograma!G11</f>
        <v/>
      </c>
      <c r="D11" s="11">
        <f>Cronograma!H11</f>
        <v/>
      </c>
      <c r="E11" s="63">
        <f>Cronograma!I11</f>
        <v/>
      </c>
      <c r="F11" s="11">
        <f>Cronograma!E11</f>
        <v/>
      </c>
      <c r="G11" s="11">
        <f>Cronograma!J11</f>
        <v/>
      </c>
      <c r="H11" s="11">
        <f>Cronograma!F11+Cronograma!K11</f>
        <v/>
      </c>
      <c r="I11" s="11">
        <f>Cronograma!L11</f>
        <v/>
      </c>
      <c r="J11" s="67">
        <f>Cronograma!M11</f>
        <v/>
      </c>
      <c r="K11" s="67">
        <f>Cronograma!N11</f>
        <v/>
      </c>
      <c r="L11" s="11">
        <f>Cronograma!O11</f>
        <v/>
      </c>
      <c r="M11" s="11">
        <f>Cronograma!Q11</f>
        <v/>
      </c>
      <c r="N11" s="11">
        <f>Cronograma!R11</f>
        <v/>
      </c>
      <c r="O11" s="67">
        <f>Cronograma!S11</f>
        <v/>
      </c>
      <c r="P11" s="67">
        <f>Cronograma!T11</f>
        <v/>
      </c>
    </row>
    <row r="12" ht="15" customHeight="1">
      <c r="A12" s="61">
        <f>Cronograma!C12</f>
        <v/>
      </c>
      <c r="B12" s="62">
        <f>Cronograma!D12</f>
        <v/>
      </c>
      <c r="C12" s="9">
        <f>Cronograma!G12</f>
        <v/>
      </c>
      <c r="D12" s="9">
        <f>Cronograma!H12</f>
        <v/>
      </c>
      <c r="E12" s="63">
        <f>Cronograma!I12</f>
        <v/>
      </c>
      <c r="F12" s="9">
        <f>Cronograma!E12</f>
        <v/>
      </c>
      <c r="G12" s="9">
        <f>Cronograma!J12</f>
        <v/>
      </c>
      <c r="H12" s="9">
        <f>Cronograma!F12+Cronograma!K12</f>
        <v/>
      </c>
      <c r="I12" s="9">
        <f>Cronograma!L12</f>
        <v/>
      </c>
      <c r="J12" s="64">
        <f>Cronograma!M12</f>
        <v/>
      </c>
      <c r="K12" s="64">
        <f>Cronograma!N12</f>
        <v/>
      </c>
      <c r="L12" s="9">
        <f>Cronograma!O12</f>
        <v/>
      </c>
      <c r="M12" s="9">
        <f>Cronograma!Q12</f>
        <v/>
      </c>
      <c r="N12" s="9">
        <f>Cronograma!R12</f>
        <v/>
      </c>
      <c r="O12" s="64">
        <f>Cronograma!S12</f>
        <v/>
      </c>
      <c r="P12" s="64">
        <f>Cronograma!T12</f>
        <v/>
      </c>
    </row>
    <row r="13" ht="15" customHeight="1">
      <c r="A13" s="65">
        <f>Cronograma!C13</f>
        <v/>
      </c>
      <c r="B13" s="66">
        <f>Cronograma!D13</f>
        <v/>
      </c>
      <c r="C13" s="11">
        <f>Cronograma!G13</f>
        <v/>
      </c>
      <c r="D13" s="11">
        <f>Cronograma!H13</f>
        <v/>
      </c>
      <c r="E13" s="63">
        <f>Cronograma!I13</f>
        <v/>
      </c>
      <c r="F13" s="11">
        <f>Cronograma!E13</f>
        <v/>
      </c>
      <c r="G13" s="11">
        <f>Cronograma!J13</f>
        <v/>
      </c>
      <c r="H13" s="11">
        <f>Cronograma!F13+Cronograma!K13</f>
        <v/>
      </c>
      <c r="I13" s="11">
        <f>Cronograma!L13</f>
        <v/>
      </c>
      <c r="J13" s="67">
        <f>Cronograma!M13</f>
        <v/>
      </c>
      <c r="K13" s="67">
        <f>Cronograma!N13</f>
        <v/>
      </c>
      <c r="L13" s="11">
        <f>Cronograma!O13</f>
        <v/>
      </c>
      <c r="M13" s="11">
        <f>Cronograma!Q13</f>
        <v/>
      </c>
      <c r="N13" s="11">
        <f>Cronograma!R13</f>
        <v/>
      </c>
      <c r="O13" s="67">
        <f>Cronograma!S13</f>
        <v/>
      </c>
      <c r="P13" s="67">
        <f>Cronograma!T13</f>
        <v/>
      </c>
    </row>
    <row r="14" ht="15" customHeight="1">
      <c r="A14" s="61">
        <f>Cronograma!C14</f>
        <v/>
      </c>
      <c r="B14" s="62">
        <f>Cronograma!D14</f>
        <v/>
      </c>
      <c r="C14" s="9">
        <f>Cronograma!G14</f>
        <v/>
      </c>
      <c r="D14" s="9">
        <f>Cronograma!H14</f>
        <v/>
      </c>
      <c r="E14" s="63">
        <f>Cronograma!I14</f>
        <v/>
      </c>
      <c r="F14" s="9">
        <f>Cronograma!E14</f>
        <v/>
      </c>
      <c r="G14" s="9">
        <f>Cronograma!J14</f>
        <v/>
      </c>
      <c r="H14" s="9">
        <f>Cronograma!F14+Cronograma!K14</f>
        <v/>
      </c>
      <c r="I14" s="9">
        <f>Cronograma!L14</f>
        <v/>
      </c>
      <c r="J14" s="64">
        <f>Cronograma!M14</f>
        <v/>
      </c>
      <c r="K14" s="64">
        <f>Cronograma!N14</f>
        <v/>
      </c>
      <c r="L14" s="9">
        <f>Cronograma!O14</f>
        <v/>
      </c>
      <c r="M14" s="9">
        <f>Cronograma!Q14</f>
        <v/>
      </c>
      <c r="N14" s="9">
        <f>Cronograma!R14</f>
        <v/>
      </c>
      <c r="O14" s="64">
        <f>Cronograma!S14</f>
        <v/>
      </c>
      <c r="P14" s="64">
        <f>Cronograma!T14</f>
        <v/>
      </c>
    </row>
    <row r="15" ht="15" customHeight="1">
      <c r="A15" s="65">
        <f>Cronograma!C15</f>
        <v/>
      </c>
      <c r="B15" s="66">
        <f>Cronograma!D15</f>
        <v/>
      </c>
      <c r="C15" s="11">
        <f>Cronograma!G15</f>
        <v/>
      </c>
      <c r="D15" s="11">
        <f>Cronograma!H15</f>
        <v/>
      </c>
      <c r="E15" s="63">
        <f>Cronograma!I15</f>
        <v/>
      </c>
      <c r="F15" s="11">
        <f>Cronograma!E15</f>
        <v/>
      </c>
      <c r="G15" s="11">
        <f>Cronograma!J15</f>
        <v/>
      </c>
      <c r="H15" s="11">
        <f>Cronograma!F15+Cronograma!K15</f>
        <v/>
      </c>
      <c r="I15" s="11">
        <f>Cronograma!L15</f>
        <v/>
      </c>
      <c r="J15" s="67">
        <f>Cronograma!M15</f>
        <v/>
      </c>
      <c r="K15" s="67">
        <f>Cronograma!N15</f>
        <v/>
      </c>
      <c r="L15" s="11">
        <f>Cronograma!O15</f>
        <v/>
      </c>
      <c r="M15" s="11">
        <f>Cronograma!Q15</f>
        <v/>
      </c>
      <c r="N15" s="11">
        <f>Cronograma!R15</f>
        <v/>
      </c>
      <c r="O15" s="67">
        <f>Cronograma!S15</f>
        <v/>
      </c>
      <c r="P15" s="67">
        <f>Cronograma!T15</f>
        <v/>
      </c>
    </row>
    <row r="16" ht="18" customHeight="1">
      <c r="A16" s="68" t="inlineStr">
        <is>
          <t>TOTAL ANO 1</t>
        </is>
      </c>
      <c r="B16" s="69">
        <f>SUM(B4:B15)</f>
        <v/>
      </c>
      <c r="C16" s="70">
        <f>SUM(C4:C15)</f>
        <v/>
      </c>
      <c r="D16" s="70">
        <f>SUM(D4:D15)</f>
        <v/>
      </c>
      <c r="E16" s="70">
        <f>SUM(E4:E15)</f>
        <v/>
      </c>
      <c r="F16" s="70">
        <f>SUM(F4:F15)</f>
        <v/>
      </c>
      <c r="G16" s="70">
        <f>SUM(G4:G15)</f>
        <v/>
      </c>
      <c r="H16" s="70">
        <f>SUM(H4:H15)</f>
        <v/>
      </c>
      <c r="I16" s="70">
        <f>SUM(I4:I15)</f>
        <v/>
      </c>
      <c r="J16" s="70">
        <f>SUM(J4:J15)</f>
        <v/>
      </c>
      <c r="K16" s="70">
        <f>SUM(K4:K15)</f>
        <v/>
      </c>
      <c r="L16" s="70">
        <f>SUM(L4:L15)</f>
        <v/>
      </c>
      <c r="M16" s="70">
        <f>SUM(M4:M15)</f>
        <v/>
      </c>
      <c r="N16" s="70">
        <f>SUM(N4:N15)</f>
        <v/>
      </c>
      <c r="O16" s="70">
        <f>SUM(O4:O15)</f>
        <v/>
      </c>
      <c r="P16" s="70">
        <f>Cronograma!T15</f>
        <v/>
      </c>
    </row>
    <row r="18" ht="22" customHeight="1">
      <c r="A18" s="71" t="inlineStr">
        <is>
          <t>📌  Todos os valores são fórmulas vinculadas à aba Cronograma, que por sua vez vincula com Parâmetros. Para alterar qualquer premissa, edite apenas a aba Parâmetros.</t>
        </is>
      </c>
    </row>
  </sheetData>
  <mergeCells count="3">
    <mergeCell ref="A1:P1"/>
    <mergeCell ref="A18:P18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2" customWidth="1" min="9" max="9"/>
    <col width="14" customWidth="1" min="10" max="10"/>
    <col width="14" customWidth="1" min="11" max="11"/>
    <col width="13" customWidth="1" min="12" max="12"/>
    <col width="12" customWidth="1" min="13" max="13"/>
    <col width="13" customWidth="1" min="14" max="14"/>
    <col width="14" customWidth="1" min="15" max="15"/>
    <col width="15" customWidth="1" min="16" max="16"/>
  </cols>
  <sheetData>
    <row r="1" ht="24" customHeight="1">
      <c r="A1" s="36" t="inlineStr">
        <is>
          <t>FLUXO DE CAIXA — ANO 2 — Janeiro a Dezembro — LOTEAMENTO PAPAGAIOS/MG</t>
        </is>
      </c>
    </row>
    <row r="2" ht="16" customHeight="1">
      <c r="A2" s="60">
        <f>TEXT(SUMIF(Cronograma!$B$4:Cronograma!$B$51,2,Cronograma!$D$4:Cronograma!$D$51),"#,##0")&amp;" lotes vendidos  |  Receita: "&amp;TEXT(SUMIF(Cronograma!$B$4:Cronograma!$B$51,2,Cronograma!$I$4:Cronograma!$I$51),"R$ #,##0")&amp;"  |  Fluxo Líq.: "&amp;TEXT(SUMIF(Cronograma!$B$4:Cronograma!$B$51,2,Cronograma!$S$4:Cronograma!$S$51),"R$ #,##0")</f>
        <v/>
      </c>
    </row>
    <row r="3" ht="28" customHeight="1">
      <c r="A3" s="41" t="inlineStr">
        <is>
          <t>MÊS</t>
        </is>
      </c>
      <c r="B3" s="41" t="inlineStr">
        <is>
          <t>LOTES
VEND.</t>
        </is>
      </c>
      <c r="C3" s="43" t="inlineStr">
        <is>
          <t>RECEITA
À VISTA</t>
        </is>
      </c>
      <c r="D3" s="43" t="inlineStr">
        <is>
          <t>PARCELAS
RECEB.</t>
        </is>
      </c>
      <c r="E3" s="43" t="inlineStr">
        <is>
          <t>TOTAL
RECEITA</t>
        </is>
      </c>
      <c r="F3" s="44" t="inlineStr">
        <is>
          <t>(-) INFRA-
ESTR.</t>
        </is>
      </c>
      <c r="G3" s="44" t="inlineStr">
        <is>
          <t>(-) CORRE-
TAGEM</t>
        </is>
      </c>
      <c r="H3" s="44" t="inlineStr">
        <is>
          <t>(-) ADMIN
&amp; MKT</t>
        </is>
      </c>
      <c r="I3" s="44" t="inlineStr">
        <is>
          <t>(-) CONTIN-
GÊNC.</t>
        </is>
      </c>
      <c r="J3" s="44" t="inlineStr">
        <is>
          <t>TOTAL
CUSTOS</t>
        </is>
      </c>
      <c r="K3" s="41" t="inlineStr">
        <is>
          <t>RESULT.
BRUTO</t>
        </is>
      </c>
      <c r="L3" s="41" t="inlineStr">
        <is>
          <t>(-) TERR-
ENISTA</t>
        </is>
      </c>
      <c r="M3" s="42" t="inlineStr">
        <is>
          <t>(-) IMPOS-
TOS</t>
        </is>
      </c>
      <c r="N3" s="42" t="inlineStr">
        <is>
          <t>(-) CUSTO
FINANC.</t>
        </is>
      </c>
      <c r="O3" s="42" t="inlineStr">
        <is>
          <t>FLUXO
LÍQUIDO</t>
        </is>
      </c>
      <c r="P3" s="42" t="inlineStr">
        <is>
          <t>FLUXO
ACUMUL.</t>
        </is>
      </c>
    </row>
    <row r="4" ht="15" customHeight="1">
      <c r="A4" s="61">
        <f>Cronograma!C16</f>
        <v/>
      </c>
      <c r="B4" s="62">
        <f>Cronograma!D16</f>
        <v/>
      </c>
      <c r="C4" s="9">
        <f>Cronograma!G16</f>
        <v/>
      </c>
      <c r="D4" s="9">
        <f>Cronograma!H16</f>
        <v/>
      </c>
      <c r="E4" s="63">
        <f>Cronograma!I16</f>
        <v/>
      </c>
      <c r="F4" s="9">
        <f>Cronograma!E16</f>
        <v/>
      </c>
      <c r="G4" s="9">
        <f>Cronograma!J16</f>
        <v/>
      </c>
      <c r="H4" s="9">
        <f>Cronograma!F16+Cronograma!K16</f>
        <v/>
      </c>
      <c r="I4" s="9">
        <f>Cronograma!L16</f>
        <v/>
      </c>
      <c r="J4" s="64">
        <f>Cronograma!M16</f>
        <v/>
      </c>
      <c r="K4" s="64">
        <f>Cronograma!N16</f>
        <v/>
      </c>
      <c r="L4" s="9">
        <f>Cronograma!O16</f>
        <v/>
      </c>
      <c r="M4" s="9">
        <f>Cronograma!Q16</f>
        <v/>
      </c>
      <c r="N4" s="9">
        <f>Cronograma!R16</f>
        <v/>
      </c>
      <c r="O4" s="64">
        <f>Cronograma!S16</f>
        <v/>
      </c>
      <c r="P4" s="64">
        <f>Cronograma!T16</f>
        <v/>
      </c>
    </row>
    <row r="5" ht="15" customHeight="1">
      <c r="A5" s="65">
        <f>Cronograma!C17</f>
        <v/>
      </c>
      <c r="B5" s="66">
        <f>Cronograma!D17</f>
        <v/>
      </c>
      <c r="C5" s="11">
        <f>Cronograma!G17</f>
        <v/>
      </c>
      <c r="D5" s="11">
        <f>Cronograma!H17</f>
        <v/>
      </c>
      <c r="E5" s="63">
        <f>Cronograma!I17</f>
        <v/>
      </c>
      <c r="F5" s="11">
        <f>Cronograma!E17</f>
        <v/>
      </c>
      <c r="G5" s="11">
        <f>Cronograma!J17</f>
        <v/>
      </c>
      <c r="H5" s="11">
        <f>Cronograma!F17+Cronograma!K17</f>
        <v/>
      </c>
      <c r="I5" s="11">
        <f>Cronograma!L17</f>
        <v/>
      </c>
      <c r="J5" s="67">
        <f>Cronograma!M17</f>
        <v/>
      </c>
      <c r="K5" s="67">
        <f>Cronograma!N17</f>
        <v/>
      </c>
      <c r="L5" s="11">
        <f>Cronograma!O17</f>
        <v/>
      </c>
      <c r="M5" s="11">
        <f>Cronograma!Q17</f>
        <v/>
      </c>
      <c r="N5" s="11">
        <f>Cronograma!R17</f>
        <v/>
      </c>
      <c r="O5" s="67">
        <f>Cronograma!S17</f>
        <v/>
      </c>
      <c r="P5" s="67">
        <f>Cronograma!T17</f>
        <v/>
      </c>
    </row>
    <row r="6" ht="15" customHeight="1">
      <c r="A6" s="61">
        <f>Cronograma!C18</f>
        <v/>
      </c>
      <c r="B6" s="62">
        <f>Cronograma!D18</f>
        <v/>
      </c>
      <c r="C6" s="9">
        <f>Cronograma!G18</f>
        <v/>
      </c>
      <c r="D6" s="9">
        <f>Cronograma!H18</f>
        <v/>
      </c>
      <c r="E6" s="63">
        <f>Cronograma!I18</f>
        <v/>
      </c>
      <c r="F6" s="9">
        <f>Cronograma!E18</f>
        <v/>
      </c>
      <c r="G6" s="9">
        <f>Cronograma!J18</f>
        <v/>
      </c>
      <c r="H6" s="9">
        <f>Cronograma!F18+Cronograma!K18</f>
        <v/>
      </c>
      <c r="I6" s="9">
        <f>Cronograma!L18</f>
        <v/>
      </c>
      <c r="J6" s="64">
        <f>Cronograma!M18</f>
        <v/>
      </c>
      <c r="K6" s="64">
        <f>Cronograma!N18</f>
        <v/>
      </c>
      <c r="L6" s="9">
        <f>Cronograma!O18</f>
        <v/>
      </c>
      <c r="M6" s="9">
        <f>Cronograma!Q18</f>
        <v/>
      </c>
      <c r="N6" s="9">
        <f>Cronograma!R18</f>
        <v/>
      </c>
      <c r="O6" s="64">
        <f>Cronograma!S18</f>
        <v/>
      </c>
      <c r="P6" s="64">
        <f>Cronograma!T18</f>
        <v/>
      </c>
    </row>
    <row r="7" ht="15" customHeight="1">
      <c r="A7" s="65">
        <f>Cronograma!C19</f>
        <v/>
      </c>
      <c r="B7" s="66">
        <f>Cronograma!D19</f>
        <v/>
      </c>
      <c r="C7" s="11">
        <f>Cronograma!G19</f>
        <v/>
      </c>
      <c r="D7" s="11">
        <f>Cronograma!H19</f>
        <v/>
      </c>
      <c r="E7" s="63">
        <f>Cronograma!I19</f>
        <v/>
      </c>
      <c r="F7" s="11">
        <f>Cronograma!E19</f>
        <v/>
      </c>
      <c r="G7" s="11">
        <f>Cronograma!J19</f>
        <v/>
      </c>
      <c r="H7" s="11">
        <f>Cronograma!F19+Cronograma!K19</f>
        <v/>
      </c>
      <c r="I7" s="11">
        <f>Cronograma!L19</f>
        <v/>
      </c>
      <c r="J7" s="67">
        <f>Cronograma!M19</f>
        <v/>
      </c>
      <c r="K7" s="67">
        <f>Cronograma!N19</f>
        <v/>
      </c>
      <c r="L7" s="11">
        <f>Cronograma!O19</f>
        <v/>
      </c>
      <c r="M7" s="11">
        <f>Cronograma!Q19</f>
        <v/>
      </c>
      <c r="N7" s="11">
        <f>Cronograma!R19</f>
        <v/>
      </c>
      <c r="O7" s="67">
        <f>Cronograma!S19</f>
        <v/>
      </c>
      <c r="P7" s="67">
        <f>Cronograma!T19</f>
        <v/>
      </c>
    </row>
    <row r="8" ht="15" customHeight="1">
      <c r="A8" s="61">
        <f>Cronograma!C20</f>
        <v/>
      </c>
      <c r="B8" s="62">
        <f>Cronograma!D20</f>
        <v/>
      </c>
      <c r="C8" s="9">
        <f>Cronograma!G20</f>
        <v/>
      </c>
      <c r="D8" s="9">
        <f>Cronograma!H20</f>
        <v/>
      </c>
      <c r="E8" s="63">
        <f>Cronograma!I20</f>
        <v/>
      </c>
      <c r="F8" s="9">
        <f>Cronograma!E20</f>
        <v/>
      </c>
      <c r="G8" s="9">
        <f>Cronograma!J20</f>
        <v/>
      </c>
      <c r="H8" s="9">
        <f>Cronograma!F20+Cronograma!K20</f>
        <v/>
      </c>
      <c r="I8" s="9">
        <f>Cronograma!L20</f>
        <v/>
      </c>
      <c r="J8" s="64">
        <f>Cronograma!M20</f>
        <v/>
      </c>
      <c r="K8" s="64">
        <f>Cronograma!N20</f>
        <v/>
      </c>
      <c r="L8" s="9">
        <f>Cronograma!O20</f>
        <v/>
      </c>
      <c r="M8" s="9">
        <f>Cronograma!Q20</f>
        <v/>
      </c>
      <c r="N8" s="9">
        <f>Cronograma!R20</f>
        <v/>
      </c>
      <c r="O8" s="64">
        <f>Cronograma!S20</f>
        <v/>
      </c>
      <c r="P8" s="64">
        <f>Cronograma!T20</f>
        <v/>
      </c>
    </row>
    <row r="9" ht="15" customHeight="1">
      <c r="A9" s="65">
        <f>Cronograma!C21</f>
        <v/>
      </c>
      <c r="B9" s="66">
        <f>Cronograma!D21</f>
        <v/>
      </c>
      <c r="C9" s="11">
        <f>Cronograma!G21</f>
        <v/>
      </c>
      <c r="D9" s="11">
        <f>Cronograma!H21</f>
        <v/>
      </c>
      <c r="E9" s="63">
        <f>Cronograma!I21</f>
        <v/>
      </c>
      <c r="F9" s="11">
        <f>Cronograma!E21</f>
        <v/>
      </c>
      <c r="G9" s="11">
        <f>Cronograma!J21</f>
        <v/>
      </c>
      <c r="H9" s="11">
        <f>Cronograma!F21+Cronograma!K21</f>
        <v/>
      </c>
      <c r="I9" s="11">
        <f>Cronograma!L21</f>
        <v/>
      </c>
      <c r="J9" s="67">
        <f>Cronograma!M21</f>
        <v/>
      </c>
      <c r="K9" s="67">
        <f>Cronograma!N21</f>
        <v/>
      </c>
      <c r="L9" s="11">
        <f>Cronograma!O21</f>
        <v/>
      </c>
      <c r="M9" s="11">
        <f>Cronograma!Q21</f>
        <v/>
      </c>
      <c r="N9" s="11">
        <f>Cronograma!R21</f>
        <v/>
      </c>
      <c r="O9" s="67">
        <f>Cronograma!S21</f>
        <v/>
      </c>
      <c r="P9" s="67">
        <f>Cronograma!T21</f>
        <v/>
      </c>
    </row>
    <row r="10" ht="15" customHeight="1">
      <c r="A10" s="61">
        <f>Cronograma!C22</f>
        <v/>
      </c>
      <c r="B10" s="62">
        <f>Cronograma!D22</f>
        <v/>
      </c>
      <c r="C10" s="9">
        <f>Cronograma!G22</f>
        <v/>
      </c>
      <c r="D10" s="9">
        <f>Cronograma!H22</f>
        <v/>
      </c>
      <c r="E10" s="63">
        <f>Cronograma!I22</f>
        <v/>
      </c>
      <c r="F10" s="9">
        <f>Cronograma!E22</f>
        <v/>
      </c>
      <c r="G10" s="9">
        <f>Cronograma!J22</f>
        <v/>
      </c>
      <c r="H10" s="9">
        <f>Cronograma!F22+Cronograma!K22</f>
        <v/>
      </c>
      <c r="I10" s="9">
        <f>Cronograma!L22</f>
        <v/>
      </c>
      <c r="J10" s="64">
        <f>Cronograma!M22</f>
        <v/>
      </c>
      <c r="K10" s="64">
        <f>Cronograma!N22</f>
        <v/>
      </c>
      <c r="L10" s="9">
        <f>Cronograma!O22</f>
        <v/>
      </c>
      <c r="M10" s="9">
        <f>Cronograma!Q22</f>
        <v/>
      </c>
      <c r="N10" s="9">
        <f>Cronograma!R22</f>
        <v/>
      </c>
      <c r="O10" s="64">
        <f>Cronograma!S22</f>
        <v/>
      </c>
      <c r="P10" s="64">
        <f>Cronograma!T22</f>
        <v/>
      </c>
    </row>
    <row r="11" ht="15" customHeight="1">
      <c r="A11" s="65">
        <f>Cronograma!C23</f>
        <v/>
      </c>
      <c r="B11" s="66">
        <f>Cronograma!D23</f>
        <v/>
      </c>
      <c r="C11" s="11">
        <f>Cronograma!G23</f>
        <v/>
      </c>
      <c r="D11" s="11">
        <f>Cronograma!H23</f>
        <v/>
      </c>
      <c r="E11" s="63">
        <f>Cronograma!I23</f>
        <v/>
      </c>
      <c r="F11" s="11">
        <f>Cronograma!E23</f>
        <v/>
      </c>
      <c r="G11" s="11">
        <f>Cronograma!J23</f>
        <v/>
      </c>
      <c r="H11" s="11">
        <f>Cronograma!F23+Cronograma!K23</f>
        <v/>
      </c>
      <c r="I11" s="11">
        <f>Cronograma!L23</f>
        <v/>
      </c>
      <c r="J11" s="67">
        <f>Cronograma!M23</f>
        <v/>
      </c>
      <c r="K11" s="67">
        <f>Cronograma!N23</f>
        <v/>
      </c>
      <c r="L11" s="11">
        <f>Cronograma!O23</f>
        <v/>
      </c>
      <c r="M11" s="11">
        <f>Cronograma!Q23</f>
        <v/>
      </c>
      <c r="N11" s="11">
        <f>Cronograma!R23</f>
        <v/>
      </c>
      <c r="O11" s="67">
        <f>Cronograma!S23</f>
        <v/>
      </c>
      <c r="P11" s="67">
        <f>Cronograma!T23</f>
        <v/>
      </c>
    </row>
    <row r="12" ht="15" customHeight="1">
      <c r="A12" s="61">
        <f>Cronograma!C24</f>
        <v/>
      </c>
      <c r="B12" s="62">
        <f>Cronograma!D24</f>
        <v/>
      </c>
      <c r="C12" s="9">
        <f>Cronograma!G24</f>
        <v/>
      </c>
      <c r="D12" s="9">
        <f>Cronograma!H24</f>
        <v/>
      </c>
      <c r="E12" s="63">
        <f>Cronograma!I24</f>
        <v/>
      </c>
      <c r="F12" s="9">
        <f>Cronograma!E24</f>
        <v/>
      </c>
      <c r="G12" s="9">
        <f>Cronograma!J24</f>
        <v/>
      </c>
      <c r="H12" s="9">
        <f>Cronograma!F24+Cronograma!K24</f>
        <v/>
      </c>
      <c r="I12" s="9">
        <f>Cronograma!L24</f>
        <v/>
      </c>
      <c r="J12" s="64">
        <f>Cronograma!M24</f>
        <v/>
      </c>
      <c r="K12" s="64">
        <f>Cronograma!N24</f>
        <v/>
      </c>
      <c r="L12" s="9">
        <f>Cronograma!O24</f>
        <v/>
      </c>
      <c r="M12" s="9">
        <f>Cronograma!Q24</f>
        <v/>
      </c>
      <c r="N12" s="9">
        <f>Cronograma!R24</f>
        <v/>
      </c>
      <c r="O12" s="64">
        <f>Cronograma!S24</f>
        <v/>
      </c>
      <c r="P12" s="64">
        <f>Cronograma!T24</f>
        <v/>
      </c>
    </row>
    <row r="13" ht="15" customHeight="1">
      <c r="A13" s="65">
        <f>Cronograma!C25</f>
        <v/>
      </c>
      <c r="B13" s="66">
        <f>Cronograma!D25</f>
        <v/>
      </c>
      <c r="C13" s="11">
        <f>Cronograma!G25</f>
        <v/>
      </c>
      <c r="D13" s="11">
        <f>Cronograma!H25</f>
        <v/>
      </c>
      <c r="E13" s="63">
        <f>Cronograma!I25</f>
        <v/>
      </c>
      <c r="F13" s="11">
        <f>Cronograma!E25</f>
        <v/>
      </c>
      <c r="G13" s="11">
        <f>Cronograma!J25</f>
        <v/>
      </c>
      <c r="H13" s="11">
        <f>Cronograma!F25+Cronograma!K25</f>
        <v/>
      </c>
      <c r="I13" s="11">
        <f>Cronograma!L25</f>
        <v/>
      </c>
      <c r="J13" s="67">
        <f>Cronograma!M25</f>
        <v/>
      </c>
      <c r="K13" s="67">
        <f>Cronograma!N25</f>
        <v/>
      </c>
      <c r="L13" s="11">
        <f>Cronograma!O25</f>
        <v/>
      </c>
      <c r="M13" s="11">
        <f>Cronograma!Q25</f>
        <v/>
      </c>
      <c r="N13" s="11">
        <f>Cronograma!R25</f>
        <v/>
      </c>
      <c r="O13" s="67">
        <f>Cronograma!S25</f>
        <v/>
      </c>
      <c r="P13" s="67">
        <f>Cronograma!T25</f>
        <v/>
      </c>
    </row>
    <row r="14" ht="15" customHeight="1">
      <c r="A14" s="61">
        <f>Cronograma!C26</f>
        <v/>
      </c>
      <c r="B14" s="62">
        <f>Cronograma!D26</f>
        <v/>
      </c>
      <c r="C14" s="9">
        <f>Cronograma!G26</f>
        <v/>
      </c>
      <c r="D14" s="9">
        <f>Cronograma!H26</f>
        <v/>
      </c>
      <c r="E14" s="63">
        <f>Cronograma!I26</f>
        <v/>
      </c>
      <c r="F14" s="9">
        <f>Cronograma!E26</f>
        <v/>
      </c>
      <c r="G14" s="9">
        <f>Cronograma!J26</f>
        <v/>
      </c>
      <c r="H14" s="9">
        <f>Cronograma!F26+Cronograma!K26</f>
        <v/>
      </c>
      <c r="I14" s="9">
        <f>Cronograma!L26</f>
        <v/>
      </c>
      <c r="J14" s="64">
        <f>Cronograma!M26</f>
        <v/>
      </c>
      <c r="K14" s="64">
        <f>Cronograma!N26</f>
        <v/>
      </c>
      <c r="L14" s="9">
        <f>Cronograma!O26</f>
        <v/>
      </c>
      <c r="M14" s="9">
        <f>Cronograma!Q26</f>
        <v/>
      </c>
      <c r="N14" s="9">
        <f>Cronograma!R26</f>
        <v/>
      </c>
      <c r="O14" s="64">
        <f>Cronograma!S26</f>
        <v/>
      </c>
      <c r="P14" s="64">
        <f>Cronograma!T26</f>
        <v/>
      </c>
    </row>
    <row r="15" ht="15" customHeight="1">
      <c r="A15" s="65">
        <f>Cronograma!C27</f>
        <v/>
      </c>
      <c r="B15" s="66">
        <f>Cronograma!D27</f>
        <v/>
      </c>
      <c r="C15" s="11">
        <f>Cronograma!G27</f>
        <v/>
      </c>
      <c r="D15" s="11">
        <f>Cronograma!H27</f>
        <v/>
      </c>
      <c r="E15" s="63">
        <f>Cronograma!I27</f>
        <v/>
      </c>
      <c r="F15" s="11">
        <f>Cronograma!E27</f>
        <v/>
      </c>
      <c r="G15" s="11">
        <f>Cronograma!J27</f>
        <v/>
      </c>
      <c r="H15" s="11">
        <f>Cronograma!F27+Cronograma!K27</f>
        <v/>
      </c>
      <c r="I15" s="11">
        <f>Cronograma!L27</f>
        <v/>
      </c>
      <c r="J15" s="67">
        <f>Cronograma!M27</f>
        <v/>
      </c>
      <c r="K15" s="67">
        <f>Cronograma!N27</f>
        <v/>
      </c>
      <c r="L15" s="11">
        <f>Cronograma!O27</f>
        <v/>
      </c>
      <c r="M15" s="11">
        <f>Cronograma!Q27</f>
        <v/>
      </c>
      <c r="N15" s="11">
        <f>Cronograma!R27</f>
        <v/>
      </c>
      <c r="O15" s="67">
        <f>Cronograma!S27</f>
        <v/>
      </c>
      <c r="P15" s="67">
        <f>Cronograma!T27</f>
        <v/>
      </c>
    </row>
    <row r="16" ht="18" customHeight="1">
      <c r="A16" s="68" t="inlineStr">
        <is>
          <t>TOTAL ANO 2</t>
        </is>
      </c>
      <c r="B16" s="69">
        <f>SUM(B4:B15)</f>
        <v/>
      </c>
      <c r="C16" s="70">
        <f>SUM(C4:C15)</f>
        <v/>
      </c>
      <c r="D16" s="70">
        <f>SUM(D4:D15)</f>
        <v/>
      </c>
      <c r="E16" s="70">
        <f>SUM(E4:E15)</f>
        <v/>
      </c>
      <c r="F16" s="70">
        <f>SUM(F4:F15)</f>
        <v/>
      </c>
      <c r="G16" s="70">
        <f>SUM(G4:G15)</f>
        <v/>
      </c>
      <c r="H16" s="70">
        <f>SUM(H4:H15)</f>
        <v/>
      </c>
      <c r="I16" s="70">
        <f>SUM(I4:I15)</f>
        <v/>
      </c>
      <c r="J16" s="70">
        <f>SUM(J4:J15)</f>
        <v/>
      </c>
      <c r="K16" s="70">
        <f>SUM(K4:K15)</f>
        <v/>
      </c>
      <c r="L16" s="70">
        <f>SUM(L4:L15)</f>
        <v/>
      </c>
      <c r="M16" s="70">
        <f>SUM(M4:M15)</f>
        <v/>
      </c>
      <c r="N16" s="70">
        <f>SUM(N4:N15)</f>
        <v/>
      </c>
      <c r="O16" s="70">
        <f>SUM(O4:O15)</f>
        <v/>
      </c>
      <c r="P16" s="70">
        <f>Cronograma!T27</f>
        <v/>
      </c>
    </row>
    <row r="18" ht="22" customHeight="1">
      <c r="A18" s="71" t="inlineStr">
        <is>
          <t>📌  Todos os valores são fórmulas vinculadas à aba Cronograma, que por sua vez vincula com Parâmetros. Para alterar qualquer premissa, edite apenas a aba Parâmetros.</t>
        </is>
      </c>
    </row>
  </sheetData>
  <mergeCells count="3">
    <mergeCell ref="A1:P1"/>
    <mergeCell ref="A18:P18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2" customWidth="1" min="9" max="9"/>
    <col width="14" customWidth="1" min="10" max="10"/>
    <col width="14" customWidth="1" min="11" max="11"/>
    <col width="13" customWidth="1" min="12" max="12"/>
    <col width="12" customWidth="1" min="13" max="13"/>
    <col width="13" customWidth="1" min="14" max="14"/>
    <col width="14" customWidth="1" min="15" max="15"/>
    <col width="15" customWidth="1" min="16" max="16"/>
  </cols>
  <sheetData>
    <row r="1" ht="24" customHeight="1">
      <c r="A1" s="36" t="inlineStr">
        <is>
          <t>FLUXO DE CAIXA — ANO 3 — Janeiro a Dezembro — LOTEAMENTO PAPAGAIOS/MG</t>
        </is>
      </c>
    </row>
    <row r="2" ht="16" customHeight="1">
      <c r="A2" s="60">
        <f>TEXT(SUMIF(Cronograma!$B$4:Cronograma!$B$51,3,Cronograma!$D$4:Cronograma!$D$51),"#,##0")&amp;" lotes vendidos  |  Receita: "&amp;TEXT(SUMIF(Cronograma!$B$4:Cronograma!$B$51,3,Cronograma!$I$4:Cronograma!$I$51),"R$ #,##0")&amp;"  |  Fluxo Líq.: "&amp;TEXT(SUMIF(Cronograma!$B$4:Cronograma!$B$51,3,Cronograma!$S$4:Cronograma!$S$51),"R$ #,##0")</f>
        <v/>
      </c>
    </row>
    <row r="3" ht="28" customHeight="1">
      <c r="A3" s="41" t="inlineStr">
        <is>
          <t>MÊS</t>
        </is>
      </c>
      <c r="B3" s="41" t="inlineStr">
        <is>
          <t>LOTES
VEND.</t>
        </is>
      </c>
      <c r="C3" s="43" t="inlineStr">
        <is>
          <t>RECEITA
À VISTA</t>
        </is>
      </c>
      <c r="D3" s="43" t="inlineStr">
        <is>
          <t>PARCELAS
RECEB.</t>
        </is>
      </c>
      <c r="E3" s="43" t="inlineStr">
        <is>
          <t>TOTAL
RECEITA</t>
        </is>
      </c>
      <c r="F3" s="44" t="inlineStr">
        <is>
          <t>(-) INFRA-
ESTR.</t>
        </is>
      </c>
      <c r="G3" s="44" t="inlineStr">
        <is>
          <t>(-) CORRE-
TAGEM</t>
        </is>
      </c>
      <c r="H3" s="44" t="inlineStr">
        <is>
          <t>(-) ADMIN
&amp; MKT</t>
        </is>
      </c>
      <c r="I3" s="44" t="inlineStr">
        <is>
          <t>(-) CONTIN-
GÊNC.</t>
        </is>
      </c>
      <c r="J3" s="44" t="inlineStr">
        <is>
          <t>TOTAL
CUSTOS</t>
        </is>
      </c>
      <c r="K3" s="41" t="inlineStr">
        <is>
          <t>RESULT.
BRUTO</t>
        </is>
      </c>
      <c r="L3" s="41" t="inlineStr">
        <is>
          <t>(-) TERR-
ENISTA</t>
        </is>
      </c>
      <c r="M3" s="42" t="inlineStr">
        <is>
          <t>(-) IMPOS-
TOS</t>
        </is>
      </c>
      <c r="N3" s="42" t="inlineStr">
        <is>
          <t>(-) CUSTO
FINANC.</t>
        </is>
      </c>
      <c r="O3" s="42" t="inlineStr">
        <is>
          <t>FLUXO
LÍQUIDO</t>
        </is>
      </c>
      <c r="P3" s="42" t="inlineStr">
        <is>
          <t>FLUXO
ACUMUL.</t>
        </is>
      </c>
    </row>
    <row r="4" ht="15" customHeight="1">
      <c r="A4" s="61">
        <f>Cronograma!C28</f>
        <v/>
      </c>
      <c r="B4" s="62">
        <f>Cronograma!D28</f>
        <v/>
      </c>
      <c r="C4" s="9">
        <f>Cronograma!G28</f>
        <v/>
      </c>
      <c r="D4" s="9">
        <f>Cronograma!H28</f>
        <v/>
      </c>
      <c r="E4" s="63">
        <f>Cronograma!I28</f>
        <v/>
      </c>
      <c r="F4" s="9">
        <f>Cronograma!E28</f>
        <v/>
      </c>
      <c r="G4" s="9">
        <f>Cronograma!J28</f>
        <v/>
      </c>
      <c r="H4" s="9">
        <f>Cronograma!F28+Cronograma!K28</f>
        <v/>
      </c>
      <c r="I4" s="9">
        <f>Cronograma!L28</f>
        <v/>
      </c>
      <c r="J4" s="64">
        <f>Cronograma!M28</f>
        <v/>
      </c>
      <c r="K4" s="64">
        <f>Cronograma!N28</f>
        <v/>
      </c>
      <c r="L4" s="9">
        <f>Cronograma!O28</f>
        <v/>
      </c>
      <c r="M4" s="9">
        <f>Cronograma!Q28</f>
        <v/>
      </c>
      <c r="N4" s="9">
        <f>Cronograma!R28</f>
        <v/>
      </c>
      <c r="O4" s="64">
        <f>Cronograma!S28</f>
        <v/>
      </c>
      <c r="P4" s="64">
        <f>Cronograma!T28</f>
        <v/>
      </c>
    </row>
    <row r="5" ht="15" customHeight="1">
      <c r="A5" s="65">
        <f>Cronograma!C29</f>
        <v/>
      </c>
      <c r="B5" s="66">
        <f>Cronograma!D29</f>
        <v/>
      </c>
      <c r="C5" s="11">
        <f>Cronograma!G29</f>
        <v/>
      </c>
      <c r="D5" s="11">
        <f>Cronograma!H29</f>
        <v/>
      </c>
      <c r="E5" s="63">
        <f>Cronograma!I29</f>
        <v/>
      </c>
      <c r="F5" s="11">
        <f>Cronograma!E29</f>
        <v/>
      </c>
      <c r="G5" s="11">
        <f>Cronograma!J29</f>
        <v/>
      </c>
      <c r="H5" s="11">
        <f>Cronograma!F29+Cronograma!K29</f>
        <v/>
      </c>
      <c r="I5" s="11">
        <f>Cronograma!L29</f>
        <v/>
      </c>
      <c r="J5" s="67">
        <f>Cronograma!M29</f>
        <v/>
      </c>
      <c r="K5" s="67">
        <f>Cronograma!N29</f>
        <v/>
      </c>
      <c r="L5" s="11">
        <f>Cronograma!O29</f>
        <v/>
      </c>
      <c r="M5" s="11">
        <f>Cronograma!Q29</f>
        <v/>
      </c>
      <c r="N5" s="11">
        <f>Cronograma!R29</f>
        <v/>
      </c>
      <c r="O5" s="67">
        <f>Cronograma!S29</f>
        <v/>
      </c>
      <c r="P5" s="67">
        <f>Cronograma!T29</f>
        <v/>
      </c>
    </row>
    <row r="6" ht="15" customHeight="1">
      <c r="A6" s="61">
        <f>Cronograma!C30</f>
        <v/>
      </c>
      <c r="B6" s="62">
        <f>Cronograma!D30</f>
        <v/>
      </c>
      <c r="C6" s="9">
        <f>Cronograma!G30</f>
        <v/>
      </c>
      <c r="D6" s="9">
        <f>Cronograma!H30</f>
        <v/>
      </c>
      <c r="E6" s="63">
        <f>Cronograma!I30</f>
        <v/>
      </c>
      <c r="F6" s="9">
        <f>Cronograma!E30</f>
        <v/>
      </c>
      <c r="G6" s="9">
        <f>Cronograma!J30</f>
        <v/>
      </c>
      <c r="H6" s="9">
        <f>Cronograma!F30+Cronograma!K30</f>
        <v/>
      </c>
      <c r="I6" s="9">
        <f>Cronograma!L30</f>
        <v/>
      </c>
      <c r="J6" s="64">
        <f>Cronograma!M30</f>
        <v/>
      </c>
      <c r="K6" s="64">
        <f>Cronograma!N30</f>
        <v/>
      </c>
      <c r="L6" s="9">
        <f>Cronograma!O30</f>
        <v/>
      </c>
      <c r="M6" s="9">
        <f>Cronograma!Q30</f>
        <v/>
      </c>
      <c r="N6" s="9">
        <f>Cronograma!R30</f>
        <v/>
      </c>
      <c r="O6" s="64">
        <f>Cronograma!S30</f>
        <v/>
      </c>
      <c r="P6" s="64">
        <f>Cronograma!T30</f>
        <v/>
      </c>
    </row>
    <row r="7" ht="15" customHeight="1">
      <c r="A7" s="65">
        <f>Cronograma!C31</f>
        <v/>
      </c>
      <c r="B7" s="66">
        <f>Cronograma!D31</f>
        <v/>
      </c>
      <c r="C7" s="11">
        <f>Cronograma!G31</f>
        <v/>
      </c>
      <c r="D7" s="11">
        <f>Cronograma!H31</f>
        <v/>
      </c>
      <c r="E7" s="63">
        <f>Cronograma!I31</f>
        <v/>
      </c>
      <c r="F7" s="11">
        <f>Cronograma!E31</f>
        <v/>
      </c>
      <c r="G7" s="11">
        <f>Cronograma!J31</f>
        <v/>
      </c>
      <c r="H7" s="11">
        <f>Cronograma!F31+Cronograma!K31</f>
        <v/>
      </c>
      <c r="I7" s="11">
        <f>Cronograma!L31</f>
        <v/>
      </c>
      <c r="J7" s="67">
        <f>Cronograma!M31</f>
        <v/>
      </c>
      <c r="K7" s="67">
        <f>Cronograma!N31</f>
        <v/>
      </c>
      <c r="L7" s="11">
        <f>Cronograma!O31</f>
        <v/>
      </c>
      <c r="M7" s="11">
        <f>Cronograma!Q31</f>
        <v/>
      </c>
      <c r="N7" s="11">
        <f>Cronograma!R31</f>
        <v/>
      </c>
      <c r="O7" s="67">
        <f>Cronograma!S31</f>
        <v/>
      </c>
      <c r="P7" s="67">
        <f>Cronograma!T31</f>
        <v/>
      </c>
    </row>
    <row r="8" ht="15" customHeight="1">
      <c r="A8" s="61">
        <f>Cronograma!C32</f>
        <v/>
      </c>
      <c r="B8" s="62">
        <f>Cronograma!D32</f>
        <v/>
      </c>
      <c r="C8" s="9">
        <f>Cronograma!G32</f>
        <v/>
      </c>
      <c r="D8" s="9">
        <f>Cronograma!H32</f>
        <v/>
      </c>
      <c r="E8" s="63">
        <f>Cronograma!I32</f>
        <v/>
      </c>
      <c r="F8" s="9">
        <f>Cronograma!E32</f>
        <v/>
      </c>
      <c r="G8" s="9">
        <f>Cronograma!J32</f>
        <v/>
      </c>
      <c r="H8" s="9">
        <f>Cronograma!F32+Cronograma!K32</f>
        <v/>
      </c>
      <c r="I8" s="9">
        <f>Cronograma!L32</f>
        <v/>
      </c>
      <c r="J8" s="64">
        <f>Cronograma!M32</f>
        <v/>
      </c>
      <c r="K8" s="64">
        <f>Cronograma!N32</f>
        <v/>
      </c>
      <c r="L8" s="9">
        <f>Cronograma!O32</f>
        <v/>
      </c>
      <c r="M8" s="9">
        <f>Cronograma!Q32</f>
        <v/>
      </c>
      <c r="N8" s="9">
        <f>Cronograma!R32</f>
        <v/>
      </c>
      <c r="O8" s="64">
        <f>Cronograma!S32</f>
        <v/>
      </c>
      <c r="P8" s="64">
        <f>Cronograma!T32</f>
        <v/>
      </c>
    </row>
    <row r="9" ht="15" customHeight="1">
      <c r="A9" s="65">
        <f>Cronograma!C33</f>
        <v/>
      </c>
      <c r="B9" s="66">
        <f>Cronograma!D33</f>
        <v/>
      </c>
      <c r="C9" s="11">
        <f>Cronograma!G33</f>
        <v/>
      </c>
      <c r="D9" s="11">
        <f>Cronograma!H33</f>
        <v/>
      </c>
      <c r="E9" s="63">
        <f>Cronograma!I33</f>
        <v/>
      </c>
      <c r="F9" s="11">
        <f>Cronograma!E33</f>
        <v/>
      </c>
      <c r="G9" s="11">
        <f>Cronograma!J33</f>
        <v/>
      </c>
      <c r="H9" s="11">
        <f>Cronograma!F33+Cronograma!K33</f>
        <v/>
      </c>
      <c r="I9" s="11">
        <f>Cronograma!L33</f>
        <v/>
      </c>
      <c r="J9" s="67">
        <f>Cronograma!M33</f>
        <v/>
      </c>
      <c r="K9" s="67">
        <f>Cronograma!N33</f>
        <v/>
      </c>
      <c r="L9" s="11">
        <f>Cronograma!O33</f>
        <v/>
      </c>
      <c r="M9" s="11">
        <f>Cronograma!Q33</f>
        <v/>
      </c>
      <c r="N9" s="11">
        <f>Cronograma!R33</f>
        <v/>
      </c>
      <c r="O9" s="67">
        <f>Cronograma!S33</f>
        <v/>
      </c>
      <c r="P9" s="67">
        <f>Cronograma!T33</f>
        <v/>
      </c>
    </row>
    <row r="10" ht="15" customHeight="1">
      <c r="A10" s="61">
        <f>Cronograma!C34</f>
        <v/>
      </c>
      <c r="B10" s="62">
        <f>Cronograma!D34</f>
        <v/>
      </c>
      <c r="C10" s="9">
        <f>Cronograma!G34</f>
        <v/>
      </c>
      <c r="D10" s="9">
        <f>Cronograma!H34</f>
        <v/>
      </c>
      <c r="E10" s="63">
        <f>Cronograma!I34</f>
        <v/>
      </c>
      <c r="F10" s="9">
        <f>Cronograma!E34</f>
        <v/>
      </c>
      <c r="G10" s="9">
        <f>Cronograma!J34</f>
        <v/>
      </c>
      <c r="H10" s="9">
        <f>Cronograma!F34+Cronograma!K34</f>
        <v/>
      </c>
      <c r="I10" s="9">
        <f>Cronograma!L34</f>
        <v/>
      </c>
      <c r="J10" s="64">
        <f>Cronograma!M34</f>
        <v/>
      </c>
      <c r="K10" s="64">
        <f>Cronograma!N34</f>
        <v/>
      </c>
      <c r="L10" s="9">
        <f>Cronograma!O34</f>
        <v/>
      </c>
      <c r="M10" s="9">
        <f>Cronograma!Q34</f>
        <v/>
      </c>
      <c r="N10" s="9">
        <f>Cronograma!R34</f>
        <v/>
      </c>
      <c r="O10" s="64">
        <f>Cronograma!S34</f>
        <v/>
      </c>
      <c r="P10" s="64">
        <f>Cronograma!T34</f>
        <v/>
      </c>
    </row>
    <row r="11" ht="15" customHeight="1">
      <c r="A11" s="65">
        <f>Cronograma!C35</f>
        <v/>
      </c>
      <c r="B11" s="66">
        <f>Cronograma!D35</f>
        <v/>
      </c>
      <c r="C11" s="11">
        <f>Cronograma!G35</f>
        <v/>
      </c>
      <c r="D11" s="11">
        <f>Cronograma!H35</f>
        <v/>
      </c>
      <c r="E11" s="63">
        <f>Cronograma!I35</f>
        <v/>
      </c>
      <c r="F11" s="11">
        <f>Cronograma!E35</f>
        <v/>
      </c>
      <c r="G11" s="11">
        <f>Cronograma!J35</f>
        <v/>
      </c>
      <c r="H11" s="11">
        <f>Cronograma!F35+Cronograma!K35</f>
        <v/>
      </c>
      <c r="I11" s="11">
        <f>Cronograma!L35</f>
        <v/>
      </c>
      <c r="J11" s="67">
        <f>Cronograma!M35</f>
        <v/>
      </c>
      <c r="K11" s="67">
        <f>Cronograma!N35</f>
        <v/>
      </c>
      <c r="L11" s="11">
        <f>Cronograma!O35</f>
        <v/>
      </c>
      <c r="M11" s="11">
        <f>Cronograma!Q35</f>
        <v/>
      </c>
      <c r="N11" s="11">
        <f>Cronograma!R35</f>
        <v/>
      </c>
      <c r="O11" s="67">
        <f>Cronograma!S35</f>
        <v/>
      </c>
      <c r="P11" s="67">
        <f>Cronograma!T35</f>
        <v/>
      </c>
    </row>
    <row r="12" ht="15" customHeight="1">
      <c r="A12" s="61">
        <f>Cronograma!C36</f>
        <v/>
      </c>
      <c r="B12" s="62">
        <f>Cronograma!D36</f>
        <v/>
      </c>
      <c r="C12" s="9">
        <f>Cronograma!G36</f>
        <v/>
      </c>
      <c r="D12" s="9">
        <f>Cronograma!H36</f>
        <v/>
      </c>
      <c r="E12" s="63">
        <f>Cronograma!I36</f>
        <v/>
      </c>
      <c r="F12" s="9">
        <f>Cronograma!E36</f>
        <v/>
      </c>
      <c r="G12" s="9">
        <f>Cronograma!J36</f>
        <v/>
      </c>
      <c r="H12" s="9">
        <f>Cronograma!F36+Cronograma!K36</f>
        <v/>
      </c>
      <c r="I12" s="9">
        <f>Cronograma!L36</f>
        <v/>
      </c>
      <c r="J12" s="64">
        <f>Cronograma!M36</f>
        <v/>
      </c>
      <c r="K12" s="64">
        <f>Cronograma!N36</f>
        <v/>
      </c>
      <c r="L12" s="9">
        <f>Cronograma!O36</f>
        <v/>
      </c>
      <c r="M12" s="9">
        <f>Cronograma!Q36</f>
        <v/>
      </c>
      <c r="N12" s="9">
        <f>Cronograma!R36</f>
        <v/>
      </c>
      <c r="O12" s="64">
        <f>Cronograma!S36</f>
        <v/>
      </c>
      <c r="P12" s="64">
        <f>Cronograma!T36</f>
        <v/>
      </c>
    </row>
    <row r="13" ht="15" customHeight="1">
      <c r="A13" s="65">
        <f>Cronograma!C37</f>
        <v/>
      </c>
      <c r="B13" s="66">
        <f>Cronograma!D37</f>
        <v/>
      </c>
      <c r="C13" s="11">
        <f>Cronograma!G37</f>
        <v/>
      </c>
      <c r="D13" s="11">
        <f>Cronograma!H37</f>
        <v/>
      </c>
      <c r="E13" s="63">
        <f>Cronograma!I37</f>
        <v/>
      </c>
      <c r="F13" s="11">
        <f>Cronograma!E37</f>
        <v/>
      </c>
      <c r="G13" s="11">
        <f>Cronograma!J37</f>
        <v/>
      </c>
      <c r="H13" s="11">
        <f>Cronograma!F37+Cronograma!K37</f>
        <v/>
      </c>
      <c r="I13" s="11">
        <f>Cronograma!L37</f>
        <v/>
      </c>
      <c r="J13" s="67">
        <f>Cronograma!M37</f>
        <v/>
      </c>
      <c r="K13" s="67">
        <f>Cronograma!N37</f>
        <v/>
      </c>
      <c r="L13" s="11">
        <f>Cronograma!O37</f>
        <v/>
      </c>
      <c r="M13" s="11">
        <f>Cronograma!Q37</f>
        <v/>
      </c>
      <c r="N13" s="11">
        <f>Cronograma!R37</f>
        <v/>
      </c>
      <c r="O13" s="67">
        <f>Cronograma!S37</f>
        <v/>
      </c>
      <c r="P13" s="67">
        <f>Cronograma!T37</f>
        <v/>
      </c>
    </row>
    <row r="14" ht="15" customHeight="1">
      <c r="A14" s="61">
        <f>Cronograma!C38</f>
        <v/>
      </c>
      <c r="B14" s="62">
        <f>Cronograma!D38</f>
        <v/>
      </c>
      <c r="C14" s="9">
        <f>Cronograma!G38</f>
        <v/>
      </c>
      <c r="D14" s="9">
        <f>Cronograma!H38</f>
        <v/>
      </c>
      <c r="E14" s="63">
        <f>Cronograma!I38</f>
        <v/>
      </c>
      <c r="F14" s="9">
        <f>Cronograma!E38</f>
        <v/>
      </c>
      <c r="G14" s="9">
        <f>Cronograma!J38</f>
        <v/>
      </c>
      <c r="H14" s="9">
        <f>Cronograma!F38+Cronograma!K38</f>
        <v/>
      </c>
      <c r="I14" s="9">
        <f>Cronograma!L38</f>
        <v/>
      </c>
      <c r="J14" s="64">
        <f>Cronograma!M38</f>
        <v/>
      </c>
      <c r="K14" s="64">
        <f>Cronograma!N38</f>
        <v/>
      </c>
      <c r="L14" s="9">
        <f>Cronograma!O38</f>
        <v/>
      </c>
      <c r="M14" s="9">
        <f>Cronograma!Q38</f>
        <v/>
      </c>
      <c r="N14" s="9">
        <f>Cronograma!R38</f>
        <v/>
      </c>
      <c r="O14" s="64">
        <f>Cronograma!S38</f>
        <v/>
      </c>
      <c r="P14" s="64">
        <f>Cronograma!T38</f>
        <v/>
      </c>
    </row>
    <row r="15" ht="15" customHeight="1">
      <c r="A15" s="65">
        <f>Cronograma!C39</f>
        <v/>
      </c>
      <c r="B15" s="66">
        <f>Cronograma!D39</f>
        <v/>
      </c>
      <c r="C15" s="11">
        <f>Cronograma!G39</f>
        <v/>
      </c>
      <c r="D15" s="11">
        <f>Cronograma!H39</f>
        <v/>
      </c>
      <c r="E15" s="63">
        <f>Cronograma!I39</f>
        <v/>
      </c>
      <c r="F15" s="11">
        <f>Cronograma!E39</f>
        <v/>
      </c>
      <c r="G15" s="11">
        <f>Cronograma!J39</f>
        <v/>
      </c>
      <c r="H15" s="11">
        <f>Cronograma!F39+Cronograma!K39</f>
        <v/>
      </c>
      <c r="I15" s="11">
        <f>Cronograma!L39</f>
        <v/>
      </c>
      <c r="J15" s="67">
        <f>Cronograma!M39</f>
        <v/>
      </c>
      <c r="K15" s="67">
        <f>Cronograma!N39</f>
        <v/>
      </c>
      <c r="L15" s="11">
        <f>Cronograma!O39</f>
        <v/>
      </c>
      <c r="M15" s="11">
        <f>Cronograma!Q39</f>
        <v/>
      </c>
      <c r="N15" s="11">
        <f>Cronograma!R39</f>
        <v/>
      </c>
      <c r="O15" s="67">
        <f>Cronograma!S39</f>
        <v/>
      </c>
      <c r="P15" s="67">
        <f>Cronograma!T39</f>
        <v/>
      </c>
    </row>
    <row r="16" ht="18" customHeight="1">
      <c r="A16" s="68" t="inlineStr">
        <is>
          <t>TOTAL ANO 3</t>
        </is>
      </c>
      <c r="B16" s="69">
        <f>SUM(B4:B15)</f>
        <v/>
      </c>
      <c r="C16" s="70">
        <f>SUM(C4:C15)</f>
        <v/>
      </c>
      <c r="D16" s="70">
        <f>SUM(D4:D15)</f>
        <v/>
      </c>
      <c r="E16" s="70">
        <f>SUM(E4:E15)</f>
        <v/>
      </c>
      <c r="F16" s="70">
        <f>SUM(F4:F15)</f>
        <v/>
      </c>
      <c r="G16" s="70">
        <f>SUM(G4:G15)</f>
        <v/>
      </c>
      <c r="H16" s="70">
        <f>SUM(H4:H15)</f>
        <v/>
      </c>
      <c r="I16" s="70">
        <f>SUM(I4:I15)</f>
        <v/>
      </c>
      <c r="J16" s="70">
        <f>SUM(J4:J15)</f>
        <v/>
      </c>
      <c r="K16" s="70">
        <f>SUM(K4:K15)</f>
        <v/>
      </c>
      <c r="L16" s="70">
        <f>SUM(L4:L15)</f>
        <v/>
      </c>
      <c r="M16" s="70">
        <f>SUM(M4:M15)</f>
        <v/>
      </c>
      <c r="N16" s="70">
        <f>SUM(N4:N15)</f>
        <v/>
      </c>
      <c r="O16" s="70">
        <f>SUM(O4:O15)</f>
        <v/>
      </c>
      <c r="P16" s="70">
        <f>Cronograma!T39</f>
        <v/>
      </c>
    </row>
    <row r="18" ht="22" customHeight="1">
      <c r="A18" s="71" t="inlineStr">
        <is>
          <t>📌  Todos os valores são fórmulas vinculadas à aba Cronograma, que por sua vez vincula com Parâmetros. Para alterar qualquer premissa, edite apenas a aba Parâmetros.</t>
        </is>
      </c>
    </row>
  </sheetData>
  <mergeCells count="3">
    <mergeCell ref="A1:P1"/>
    <mergeCell ref="A18:P18"/>
    <mergeCell ref="A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2" customWidth="1" min="9" max="9"/>
    <col width="14" customWidth="1" min="10" max="10"/>
    <col width="14" customWidth="1" min="11" max="11"/>
    <col width="13" customWidth="1" min="12" max="12"/>
    <col width="12" customWidth="1" min="13" max="13"/>
    <col width="13" customWidth="1" min="14" max="14"/>
    <col width="14" customWidth="1" min="15" max="15"/>
    <col width="15" customWidth="1" min="16" max="16"/>
  </cols>
  <sheetData>
    <row r="1" ht="24" customHeight="1">
      <c r="A1" s="36" t="inlineStr">
        <is>
          <t>FLUXO DE CAIXA — ANO 4 — Janeiro a Dezembro — LOTEAMENTO PAPAGAIOS/MG</t>
        </is>
      </c>
    </row>
    <row r="2" ht="16" customHeight="1">
      <c r="A2" s="60">
        <f>TEXT(SUMIF(Cronograma!$B$4:Cronograma!$B$51,4,Cronograma!$D$4:Cronograma!$D$51),"#,##0")&amp;" lotes vendidos  |  Receita: "&amp;TEXT(SUMIF(Cronograma!$B$4:Cronograma!$B$51,4,Cronograma!$I$4:Cronograma!$I$51),"R$ #,##0")&amp;"  |  Fluxo Líq.: "&amp;TEXT(SUMIF(Cronograma!$B$4:Cronograma!$B$51,4,Cronograma!$S$4:Cronograma!$S$51),"R$ #,##0")</f>
        <v/>
      </c>
    </row>
    <row r="3" ht="28" customHeight="1">
      <c r="A3" s="41" t="inlineStr">
        <is>
          <t>MÊS</t>
        </is>
      </c>
      <c r="B3" s="41" t="inlineStr">
        <is>
          <t>LOTES
VEND.</t>
        </is>
      </c>
      <c r="C3" s="43" t="inlineStr">
        <is>
          <t>RECEITA
À VISTA</t>
        </is>
      </c>
      <c r="D3" s="43" t="inlineStr">
        <is>
          <t>PARCELAS
RECEB.</t>
        </is>
      </c>
      <c r="E3" s="43" t="inlineStr">
        <is>
          <t>TOTAL
RECEITA</t>
        </is>
      </c>
      <c r="F3" s="44" t="inlineStr">
        <is>
          <t>(-) INFRA-
ESTR.</t>
        </is>
      </c>
      <c r="G3" s="44" t="inlineStr">
        <is>
          <t>(-) CORRE-
TAGEM</t>
        </is>
      </c>
      <c r="H3" s="44" t="inlineStr">
        <is>
          <t>(-) ADMIN
&amp; MKT</t>
        </is>
      </c>
      <c r="I3" s="44" t="inlineStr">
        <is>
          <t>(-) CONTIN-
GÊNC.</t>
        </is>
      </c>
      <c r="J3" s="44" t="inlineStr">
        <is>
          <t>TOTAL
CUSTOS</t>
        </is>
      </c>
      <c r="K3" s="41" t="inlineStr">
        <is>
          <t>RESULT.
BRUTO</t>
        </is>
      </c>
      <c r="L3" s="41" t="inlineStr">
        <is>
          <t>(-) TERR-
ENISTA</t>
        </is>
      </c>
      <c r="M3" s="42" t="inlineStr">
        <is>
          <t>(-) IMPOS-
TOS</t>
        </is>
      </c>
      <c r="N3" s="42" t="inlineStr">
        <is>
          <t>(-) CUSTO
FINANC.</t>
        </is>
      </c>
      <c r="O3" s="42" t="inlineStr">
        <is>
          <t>FLUXO
LÍQUIDO</t>
        </is>
      </c>
      <c r="P3" s="42" t="inlineStr">
        <is>
          <t>FLUXO
ACUMUL.</t>
        </is>
      </c>
    </row>
    <row r="4" ht="15" customHeight="1">
      <c r="A4" s="61">
        <f>Cronograma!C40</f>
        <v/>
      </c>
      <c r="B4" s="62">
        <f>Cronograma!D40</f>
        <v/>
      </c>
      <c r="C4" s="9">
        <f>Cronograma!G40</f>
        <v/>
      </c>
      <c r="D4" s="9">
        <f>Cronograma!H40</f>
        <v/>
      </c>
      <c r="E4" s="63">
        <f>Cronograma!I40</f>
        <v/>
      </c>
      <c r="F4" s="9">
        <f>Cronograma!E40</f>
        <v/>
      </c>
      <c r="G4" s="9">
        <f>Cronograma!J40</f>
        <v/>
      </c>
      <c r="H4" s="9">
        <f>Cronograma!F40+Cronograma!K40</f>
        <v/>
      </c>
      <c r="I4" s="9">
        <f>Cronograma!L40</f>
        <v/>
      </c>
      <c r="J4" s="64">
        <f>Cronograma!M40</f>
        <v/>
      </c>
      <c r="K4" s="64">
        <f>Cronograma!N40</f>
        <v/>
      </c>
      <c r="L4" s="9">
        <f>Cronograma!O40</f>
        <v/>
      </c>
      <c r="M4" s="9">
        <f>Cronograma!Q40</f>
        <v/>
      </c>
      <c r="N4" s="9">
        <f>Cronograma!R40</f>
        <v/>
      </c>
      <c r="O4" s="64">
        <f>Cronograma!S40</f>
        <v/>
      </c>
      <c r="P4" s="64">
        <f>Cronograma!T40</f>
        <v/>
      </c>
    </row>
    <row r="5" ht="15" customHeight="1">
      <c r="A5" s="65">
        <f>Cronograma!C41</f>
        <v/>
      </c>
      <c r="B5" s="66">
        <f>Cronograma!D41</f>
        <v/>
      </c>
      <c r="C5" s="11">
        <f>Cronograma!G41</f>
        <v/>
      </c>
      <c r="D5" s="11">
        <f>Cronograma!H41</f>
        <v/>
      </c>
      <c r="E5" s="63">
        <f>Cronograma!I41</f>
        <v/>
      </c>
      <c r="F5" s="11">
        <f>Cronograma!E41</f>
        <v/>
      </c>
      <c r="G5" s="11">
        <f>Cronograma!J41</f>
        <v/>
      </c>
      <c r="H5" s="11">
        <f>Cronograma!F41+Cronograma!K41</f>
        <v/>
      </c>
      <c r="I5" s="11">
        <f>Cronograma!L41</f>
        <v/>
      </c>
      <c r="J5" s="67">
        <f>Cronograma!M41</f>
        <v/>
      </c>
      <c r="K5" s="67">
        <f>Cronograma!N41</f>
        <v/>
      </c>
      <c r="L5" s="11">
        <f>Cronograma!O41</f>
        <v/>
      </c>
      <c r="M5" s="11">
        <f>Cronograma!Q41</f>
        <v/>
      </c>
      <c r="N5" s="11">
        <f>Cronograma!R41</f>
        <v/>
      </c>
      <c r="O5" s="67">
        <f>Cronograma!S41</f>
        <v/>
      </c>
      <c r="P5" s="67">
        <f>Cronograma!T41</f>
        <v/>
      </c>
    </row>
    <row r="6" ht="15" customHeight="1">
      <c r="A6" s="61">
        <f>Cronograma!C42</f>
        <v/>
      </c>
      <c r="B6" s="62">
        <f>Cronograma!D42</f>
        <v/>
      </c>
      <c r="C6" s="9">
        <f>Cronograma!G42</f>
        <v/>
      </c>
      <c r="D6" s="9">
        <f>Cronograma!H42</f>
        <v/>
      </c>
      <c r="E6" s="63">
        <f>Cronograma!I42</f>
        <v/>
      </c>
      <c r="F6" s="9">
        <f>Cronograma!E42</f>
        <v/>
      </c>
      <c r="G6" s="9">
        <f>Cronograma!J42</f>
        <v/>
      </c>
      <c r="H6" s="9">
        <f>Cronograma!F42+Cronograma!K42</f>
        <v/>
      </c>
      <c r="I6" s="9">
        <f>Cronograma!L42</f>
        <v/>
      </c>
      <c r="J6" s="64">
        <f>Cronograma!M42</f>
        <v/>
      </c>
      <c r="K6" s="64">
        <f>Cronograma!N42</f>
        <v/>
      </c>
      <c r="L6" s="9">
        <f>Cronograma!O42</f>
        <v/>
      </c>
      <c r="M6" s="9">
        <f>Cronograma!Q42</f>
        <v/>
      </c>
      <c r="N6" s="9">
        <f>Cronograma!R42</f>
        <v/>
      </c>
      <c r="O6" s="64">
        <f>Cronograma!S42</f>
        <v/>
      </c>
      <c r="P6" s="64">
        <f>Cronograma!T42</f>
        <v/>
      </c>
    </row>
    <row r="7" ht="15" customHeight="1">
      <c r="A7" s="65">
        <f>Cronograma!C43</f>
        <v/>
      </c>
      <c r="B7" s="66">
        <f>Cronograma!D43</f>
        <v/>
      </c>
      <c r="C7" s="11">
        <f>Cronograma!G43</f>
        <v/>
      </c>
      <c r="D7" s="11">
        <f>Cronograma!H43</f>
        <v/>
      </c>
      <c r="E7" s="63">
        <f>Cronograma!I43</f>
        <v/>
      </c>
      <c r="F7" s="11">
        <f>Cronograma!E43</f>
        <v/>
      </c>
      <c r="G7" s="11">
        <f>Cronograma!J43</f>
        <v/>
      </c>
      <c r="H7" s="11">
        <f>Cronograma!F43+Cronograma!K43</f>
        <v/>
      </c>
      <c r="I7" s="11">
        <f>Cronograma!L43</f>
        <v/>
      </c>
      <c r="J7" s="67">
        <f>Cronograma!M43</f>
        <v/>
      </c>
      <c r="K7" s="67">
        <f>Cronograma!N43</f>
        <v/>
      </c>
      <c r="L7" s="11">
        <f>Cronograma!O43</f>
        <v/>
      </c>
      <c r="M7" s="11">
        <f>Cronograma!Q43</f>
        <v/>
      </c>
      <c r="N7" s="11">
        <f>Cronograma!R43</f>
        <v/>
      </c>
      <c r="O7" s="67">
        <f>Cronograma!S43</f>
        <v/>
      </c>
      <c r="P7" s="67">
        <f>Cronograma!T43</f>
        <v/>
      </c>
    </row>
    <row r="8" ht="15" customHeight="1">
      <c r="A8" s="61">
        <f>Cronograma!C44</f>
        <v/>
      </c>
      <c r="B8" s="62">
        <f>Cronograma!D44</f>
        <v/>
      </c>
      <c r="C8" s="9">
        <f>Cronograma!G44</f>
        <v/>
      </c>
      <c r="D8" s="9">
        <f>Cronograma!H44</f>
        <v/>
      </c>
      <c r="E8" s="63">
        <f>Cronograma!I44</f>
        <v/>
      </c>
      <c r="F8" s="9">
        <f>Cronograma!E44</f>
        <v/>
      </c>
      <c r="G8" s="9">
        <f>Cronograma!J44</f>
        <v/>
      </c>
      <c r="H8" s="9">
        <f>Cronograma!F44+Cronograma!K44</f>
        <v/>
      </c>
      <c r="I8" s="9">
        <f>Cronograma!L44</f>
        <v/>
      </c>
      <c r="J8" s="64">
        <f>Cronograma!M44</f>
        <v/>
      </c>
      <c r="K8" s="64">
        <f>Cronograma!N44</f>
        <v/>
      </c>
      <c r="L8" s="9">
        <f>Cronograma!O44</f>
        <v/>
      </c>
      <c r="M8" s="9">
        <f>Cronograma!Q44</f>
        <v/>
      </c>
      <c r="N8" s="9">
        <f>Cronograma!R44</f>
        <v/>
      </c>
      <c r="O8" s="64">
        <f>Cronograma!S44</f>
        <v/>
      </c>
      <c r="P8" s="64">
        <f>Cronograma!T44</f>
        <v/>
      </c>
    </row>
    <row r="9" ht="15" customHeight="1">
      <c r="A9" s="65">
        <f>Cronograma!C45</f>
        <v/>
      </c>
      <c r="B9" s="66">
        <f>Cronograma!D45</f>
        <v/>
      </c>
      <c r="C9" s="11">
        <f>Cronograma!G45</f>
        <v/>
      </c>
      <c r="D9" s="11">
        <f>Cronograma!H45</f>
        <v/>
      </c>
      <c r="E9" s="63">
        <f>Cronograma!I45</f>
        <v/>
      </c>
      <c r="F9" s="11">
        <f>Cronograma!E45</f>
        <v/>
      </c>
      <c r="G9" s="11">
        <f>Cronograma!J45</f>
        <v/>
      </c>
      <c r="H9" s="11">
        <f>Cronograma!F45+Cronograma!K45</f>
        <v/>
      </c>
      <c r="I9" s="11">
        <f>Cronograma!L45</f>
        <v/>
      </c>
      <c r="J9" s="67">
        <f>Cronograma!M45</f>
        <v/>
      </c>
      <c r="K9" s="67">
        <f>Cronograma!N45</f>
        <v/>
      </c>
      <c r="L9" s="11">
        <f>Cronograma!O45</f>
        <v/>
      </c>
      <c r="M9" s="11">
        <f>Cronograma!Q45</f>
        <v/>
      </c>
      <c r="N9" s="11">
        <f>Cronograma!R45</f>
        <v/>
      </c>
      <c r="O9" s="67">
        <f>Cronograma!S45</f>
        <v/>
      </c>
      <c r="P9" s="67">
        <f>Cronograma!T45</f>
        <v/>
      </c>
    </row>
    <row r="10" ht="15" customHeight="1">
      <c r="A10" s="61">
        <f>Cronograma!C46</f>
        <v/>
      </c>
      <c r="B10" s="62">
        <f>Cronograma!D46</f>
        <v/>
      </c>
      <c r="C10" s="9">
        <f>Cronograma!G46</f>
        <v/>
      </c>
      <c r="D10" s="9">
        <f>Cronograma!H46</f>
        <v/>
      </c>
      <c r="E10" s="63">
        <f>Cronograma!I46</f>
        <v/>
      </c>
      <c r="F10" s="9">
        <f>Cronograma!E46</f>
        <v/>
      </c>
      <c r="G10" s="9">
        <f>Cronograma!J46</f>
        <v/>
      </c>
      <c r="H10" s="9">
        <f>Cronograma!F46+Cronograma!K46</f>
        <v/>
      </c>
      <c r="I10" s="9">
        <f>Cronograma!L46</f>
        <v/>
      </c>
      <c r="J10" s="64">
        <f>Cronograma!M46</f>
        <v/>
      </c>
      <c r="K10" s="64">
        <f>Cronograma!N46</f>
        <v/>
      </c>
      <c r="L10" s="9">
        <f>Cronograma!O46</f>
        <v/>
      </c>
      <c r="M10" s="9">
        <f>Cronograma!Q46</f>
        <v/>
      </c>
      <c r="N10" s="9">
        <f>Cronograma!R46</f>
        <v/>
      </c>
      <c r="O10" s="64">
        <f>Cronograma!S46</f>
        <v/>
      </c>
      <c r="P10" s="64">
        <f>Cronograma!T46</f>
        <v/>
      </c>
    </row>
    <row r="11" ht="15" customHeight="1">
      <c r="A11" s="65">
        <f>Cronograma!C47</f>
        <v/>
      </c>
      <c r="B11" s="66">
        <f>Cronograma!D47</f>
        <v/>
      </c>
      <c r="C11" s="11">
        <f>Cronograma!G47</f>
        <v/>
      </c>
      <c r="D11" s="11">
        <f>Cronograma!H47</f>
        <v/>
      </c>
      <c r="E11" s="63">
        <f>Cronograma!I47</f>
        <v/>
      </c>
      <c r="F11" s="11">
        <f>Cronograma!E47</f>
        <v/>
      </c>
      <c r="G11" s="11">
        <f>Cronograma!J47</f>
        <v/>
      </c>
      <c r="H11" s="11">
        <f>Cronograma!F47+Cronograma!K47</f>
        <v/>
      </c>
      <c r="I11" s="11">
        <f>Cronograma!L47</f>
        <v/>
      </c>
      <c r="J11" s="67">
        <f>Cronograma!M47</f>
        <v/>
      </c>
      <c r="K11" s="67">
        <f>Cronograma!N47</f>
        <v/>
      </c>
      <c r="L11" s="11">
        <f>Cronograma!O47</f>
        <v/>
      </c>
      <c r="M11" s="11">
        <f>Cronograma!Q47</f>
        <v/>
      </c>
      <c r="N11" s="11">
        <f>Cronograma!R47</f>
        <v/>
      </c>
      <c r="O11" s="67">
        <f>Cronograma!S47</f>
        <v/>
      </c>
      <c r="P11" s="67">
        <f>Cronograma!T47</f>
        <v/>
      </c>
    </row>
    <row r="12" ht="15" customHeight="1">
      <c r="A12" s="61">
        <f>Cronograma!C48</f>
        <v/>
      </c>
      <c r="B12" s="62">
        <f>Cronograma!D48</f>
        <v/>
      </c>
      <c r="C12" s="9">
        <f>Cronograma!G48</f>
        <v/>
      </c>
      <c r="D12" s="9">
        <f>Cronograma!H48</f>
        <v/>
      </c>
      <c r="E12" s="63">
        <f>Cronograma!I48</f>
        <v/>
      </c>
      <c r="F12" s="9">
        <f>Cronograma!E48</f>
        <v/>
      </c>
      <c r="G12" s="9">
        <f>Cronograma!J48</f>
        <v/>
      </c>
      <c r="H12" s="9">
        <f>Cronograma!F48+Cronograma!K48</f>
        <v/>
      </c>
      <c r="I12" s="9">
        <f>Cronograma!L48</f>
        <v/>
      </c>
      <c r="J12" s="64">
        <f>Cronograma!M48</f>
        <v/>
      </c>
      <c r="K12" s="64">
        <f>Cronograma!N48</f>
        <v/>
      </c>
      <c r="L12" s="9">
        <f>Cronograma!O48</f>
        <v/>
      </c>
      <c r="M12" s="9">
        <f>Cronograma!Q48</f>
        <v/>
      </c>
      <c r="N12" s="9">
        <f>Cronograma!R48</f>
        <v/>
      </c>
      <c r="O12" s="64">
        <f>Cronograma!S48</f>
        <v/>
      </c>
      <c r="P12" s="64">
        <f>Cronograma!T48</f>
        <v/>
      </c>
    </row>
    <row r="13" ht="15" customHeight="1">
      <c r="A13" s="65">
        <f>Cronograma!C49</f>
        <v/>
      </c>
      <c r="B13" s="66">
        <f>Cronograma!D49</f>
        <v/>
      </c>
      <c r="C13" s="11">
        <f>Cronograma!G49</f>
        <v/>
      </c>
      <c r="D13" s="11">
        <f>Cronograma!H49</f>
        <v/>
      </c>
      <c r="E13" s="63">
        <f>Cronograma!I49</f>
        <v/>
      </c>
      <c r="F13" s="11">
        <f>Cronograma!E49</f>
        <v/>
      </c>
      <c r="G13" s="11">
        <f>Cronograma!J49</f>
        <v/>
      </c>
      <c r="H13" s="11">
        <f>Cronograma!F49+Cronograma!K49</f>
        <v/>
      </c>
      <c r="I13" s="11">
        <f>Cronograma!L49</f>
        <v/>
      </c>
      <c r="J13" s="67">
        <f>Cronograma!M49</f>
        <v/>
      </c>
      <c r="K13" s="67">
        <f>Cronograma!N49</f>
        <v/>
      </c>
      <c r="L13" s="11">
        <f>Cronograma!O49</f>
        <v/>
      </c>
      <c r="M13" s="11">
        <f>Cronograma!Q49</f>
        <v/>
      </c>
      <c r="N13" s="11">
        <f>Cronograma!R49</f>
        <v/>
      </c>
      <c r="O13" s="67">
        <f>Cronograma!S49</f>
        <v/>
      </c>
      <c r="P13" s="67">
        <f>Cronograma!T49</f>
        <v/>
      </c>
    </row>
    <row r="14" ht="15" customHeight="1">
      <c r="A14" s="61">
        <f>Cronograma!C50</f>
        <v/>
      </c>
      <c r="B14" s="62">
        <f>Cronograma!D50</f>
        <v/>
      </c>
      <c r="C14" s="9">
        <f>Cronograma!G50</f>
        <v/>
      </c>
      <c r="D14" s="9">
        <f>Cronograma!H50</f>
        <v/>
      </c>
      <c r="E14" s="63">
        <f>Cronograma!I50</f>
        <v/>
      </c>
      <c r="F14" s="9">
        <f>Cronograma!E50</f>
        <v/>
      </c>
      <c r="G14" s="9">
        <f>Cronograma!J50</f>
        <v/>
      </c>
      <c r="H14" s="9">
        <f>Cronograma!F50+Cronograma!K50</f>
        <v/>
      </c>
      <c r="I14" s="9">
        <f>Cronograma!L50</f>
        <v/>
      </c>
      <c r="J14" s="64">
        <f>Cronograma!M50</f>
        <v/>
      </c>
      <c r="K14" s="64">
        <f>Cronograma!N50</f>
        <v/>
      </c>
      <c r="L14" s="9">
        <f>Cronograma!O50</f>
        <v/>
      </c>
      <c r="M14" s="9">
        <f>Cronograma!Q50</f>
        <v/>
      </c>
      <c r="N14" s="9">
        <f>Cronograma!R50</f>
        <v/>
      </c>
      <c r="O14" s="64">
        <f>Cronograma!S50</f>
        <v/>
      </c>
      <c r="P14" s="64">
        <f>Cronograma!T50</f>
        <v/>
      </c>
    </row>
    <row r="15" ht="15" customHeight="1">
      <c r="A15" s="65">
        <f>Cronograma!C51</f>
        <v/>
      </c>
      <c r="B15" s="66">
        <f>Cronograma!D51</f>
        <v/>
      </c>
      <c r="C15" s="11">
        <f>Cronograma!G51</f>
        <v/>
      </c>
      <c r="D15" s="11">
        <f>Cronograma!H51</f>
        <v/>
      </c>
      <c r="E15" s="63">
        <f>Cronograma!I51</f>
        <v/>
      </c>
      <c r="F15" s="11">
        <f>Cronograma!E51</f>
        <v/>
      </c>
      <c r="G15" s="11">
        <f>Cronograma!J51</f>
        <v/>
      </c>
      <c r="H15" s="11">
        <f>Cronograma!F51+Cronograma!K51</f>
        <v/>
      </c>
      <c r="I15" s="11">
        <f>Cronograma!L51</f>
        <v/>
      </c>
      <c r="J15" s="67">
        <f>Cronograma!M51</f>
        <v/>
      </c>
      <c r="K15" s="67">
        <f>Cronograma!N51</f>
        <v/>
      </c>
      <c r="L15" s="11">
        <f>Cronograma!O51</f>
        <v/>
      </c>
      <c r="M15" s="11">
        <f>Cronograma!Q51</f>
        <v/>
      </c>
      <c r="N15" s="11">
        <f>Cronograma!R51</f>
        <v/>
      </c>
      <c r="O15" s="67">
        <f>Cronograma!S51</f>
        <v/>
      </c>
      <c r="P15" s="67">
        <f>Cronograma!T51</f>
        <v/>
      </c>
    </row>
    <row r="16" ht="18" customHeight="1">
      <c r="A16" s="68" t="inlineStr">
        <is>
          <t>TOTAL ANO 4</t>
        </is>
      </c>
      <c r="B16" s="69">
        <f>SUM(B4:B15)</f>
        <v/>
      </c>
      <c r="C16" s="70">
        <f>SUM(C4:C15)</f>
        <v/>
      </c>
      <c r="D16" s="70">
        <f>SUM(D4:D15)</f>
        <v/>
      </c>
      <c r="E16" s="70">
        <f>SUM(E4:E15)</f>
        <v/>
      </c>
      <c r="F16" s="70">
        <f>SUM(F4:F15)</f>
        <v/>
      </c>
      <c r="G16" s="70">
        <f>SUM(G4:G15)</f>
        <v/>
      </c>
      <c r="H16" s="70">
        <f>SUM(H4:H15)</f>
        <v/>
      </c>
      <c r="I16" s="70">
        <f>SUM(I4:I15)</f>
        <v/>
      </c>
      <c r="J16" s="70">
        <f>SUM(J4:J15)</f>
        <v/>
      </c>
      <c r="K16" s="70">
        <f>SUM(K4:K15)</f>
        <v/>
      </c>
      <c r="L16" s="70">
        <f>SUM(L4:L15)</f>
        <v/>
      </c>
      <c r="M16" s="70">
        <f>SUM(M4:M15)</f>
        <v/>
      </c>
      <c r="N16" s="70">
        <f>SUM(N4:N15)</f>
        <v/>
      </c>
      <c r="O16" s="70">
        <f>SUM(O4:O15)</f>
        <v/>
      </c>
      <c r="P16" s="70">
        <f>Cronograma!T51</f>
        <v/>
      </c>
    </row>
    <row r="18" ht="22" customHeight="1">
      <c r="A18" s="71" t="inlineStr">
        <is>
          <t>📌  Todos os valores são fórmulas vinculadas à aba Cronograma, que por sua vez vincula com Parâmetros. Para alterar qualquer premissa, edite apenas a aba Parâmetros.</t>
        </is>
      </c>
    </row>
  </sheetData>
  <mergeCells count="3">
    <mergeCell ref="A1:P1"/>
    <mergeCell ref="A18:P18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2026-04-13T21:28:28Z</dcterms:created>
  <dcterms:modified xsi:type="dcterms:W3CDTF">2026-04-13T21:28:28Z</dcterms:modified>
</cp:coreProperties>
</file>