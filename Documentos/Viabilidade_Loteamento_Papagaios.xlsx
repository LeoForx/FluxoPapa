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Executivo" sheetId="1" state="visible" r:id="rId1"/>
    <sheet name="Premissas" sheetId="2" state="visible" r:id="rId2"/>
    <sheet name="Financeiro" sheetId="3" state="visible" r:id="rId3"/>
    <sheet name="Fluxo_Caixa" sheetId="4" state="visible" r:id="rId4"/>
    <sheet name="Cenários" sheetId="5" state="visible" r:id="rId5"/>
    <sheet name="Infraestrutu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%"/>
    <numFmt numFmtId="166" formatCode="&quot;~&quot; 0 &quot; meses&quot;"/>
    <numFmt numFmtId="167" formatCode="0.0 &quot;meses&quot;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7D6608"/>
      <sz val="10"/>
    </font>
    <font>
      <color rgb="007D6608"/>
      <sz val="9"/>
    </font>
    <font>
      <b val="1"/>
      <color rgb="001A5276"/>
      <sz val="12"/>
    </font>
    <font>
      <b val="1"/>
      <color rgb="00FFFFFF"/>
      <sz val="12"/>
    </font>
    <font>
      <sz val="10"/>
    </font>
    <font>
      <b val="1"/>
      <sz val="10"/>
    </font>
    <font>
      <i val="1"/>
      <color rgb="00595959"/>
      <sz val="10"/>
    </font>
    <font>
      <b val="1"/>
    </font>
    <font>
      <color rgb="00C00000"/>
    </font>
    <font>
      <b val="1"/>
      <color rgb="00C00000"/>
    </font>
    <font>
      <b val="1"/>
      <color rgb="001A5276"/>
    </font>
    <font>
      <i val="1"/>
      <color rgb="007D6608"/>
      <sz val="9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A5276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70AD4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165" fontId="11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4" fontId="13" fillId="5" borderId="1" pivotButton="0" quotePrefix="0" xfId="0"/>
    <xf numFmtId="165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164" fontId="0" fillId="9" borderId="1" applyAlignment="1" pivotButton="0" quotePrefix="0" xfId="0">
      <alignment horizontal="right" vertical="center"/>
    </xf>
    <xf numFmtId="165" fontId="0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center" vertical="center"/>
    </xf>
    <xf numFmtId="164" fontId="13" fillId="6" borderId="1" pivotButton="0" quotePrefix="0" xfId="0"/>
    <xf numFmtId="165" fontId="0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0" fillId="8" borderId="1" pivotButton="0" quotePrefix="0" xfId="0"/>
    <xf numFmtId="165" fontId="0" fillId="8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4" fontId="13" fillId="9" borderId="1" pivotButton="0" quotePrefix="0" xfId="0"/>
    <xf numFmtId="164" fontId="0" fillId="5" borderId="1" pivotButton="0" quotePrefix="0" xfId="0"/>
    <xf numFmtId="0" fontId="0" fillId="0" borderId="4" pivotButton="0" quotePrefix="0" xfId="0"/>
    <xf numFmtId="3" fontId="13" fillId="6" borderId="1" pivotButton="0" quotePrefix="0" xfId="0"/>
    <xf numFmtId="164" fontId="14" fillId="7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164" fontId="15" fillId="10" borderId="1" pivotButton="0" quotePrefix="0" xfId="0"/>
    <xf numFmtId="164" fontId="0" fillId="10" borderId="1" pivotButton="0" quotePrefix="0" xfId="0"/>
    <xf numFmtId="164" fontId="15" fillId="6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  <xf numFmtId="165" fontId="13" fillId="5" borderId="1" pivotButton="0" quotePrefix="0" xfId="0"/>
    <xf numFmtId="0" fontId="0" fillId="0" borderId="5" pivotButton="0" quotePrefix="0" xfId="0"/>
    <xf numFmtId="164" fontId="16" fillId="6" borderId="1" pivotButton="0" quotePrefix="0" xfId="0"/>
    <xf numFmtId="165" fontId="16" fillId="6" borderId="1" pivotButton="0" quotePrefix="0" xfId="0"/>
    <xf numFmtId="0" fontId="17" fillId="8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164" fontId="0" fillId="10" borderId="1" applyAlignment="1" pivotButton="0" quotePrefix="0" xfId="0">
      <alignment horizontal="right" vertical="center"/>
    </xf>
    <xf numFmtId="3" fontId="0" fillId="9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165" fontId="13" fillId="6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7" fontId="0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0" fontId="0" fillId="4" borderId="0" pivotButton="0" quotePrefix="0" xfId="0"/>
    <xf numFmtId="164" fontId="1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ESTUDO DE VIABILIDADE ECONÔMICA — LOTEAMENTO PAPAGAIOS/MG</t>
        </is>
      </c>
    </row>
    <row r="2" ht="18" customHeight="1">
      <c r="A2" s="2" t="inlineStr">
        <is>
          <t>Abril/2026  |  Loteamento Popular  |  16 ha  |  304 Lotes  |  R$ 75.000/lote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REFERÊNCIA</t>
        </is>
      </c>
      <c r="D4" s="3" t="inlineStr">
        <is>
          <t>STATUS</t>
        </is>
      </c>
    </row>
    <row r="5">
      <c r="A5" s="4" t="inlineStr">
        <is>
          <t>VGV Total</t>
        </is>
      </c>
      <c r="B5" s="5">
        <f>'Premissas'!B5</f>
        <v/>
      </c>
      <c r="C5" s="6" t="inlineStr">
        <is>
          <t>—</t>
        </is>
      </c>
      <c r="D5" s="7" t="inlineStr">
        <is>
          <t>✅</t>
        </is>
      </c>
    </row>
    <row r="6">
      <c r="A6" s="8" t="inlineStr">
        <is>
          <t>VGV Empreendedor (65%)</t>
        </is>
      </c>
      <c r="B6" s="9">
        <f>'Financeiro'!B22</f>
        <v/>
      </c>
      <c r="C6" s="10" t="inlineStr">
        <is>
          <t>—</t>
        </is>
      </c>
      <c r="D6" s="7" t="inlineStr">
        <is>
          <t>✅</t>
        </is>
      </c>
    </row>
    <row r="7">
      <c r="A7" s="4" t="inlineStr">
        <is>
          <t>Custo Total (com impostos)</t>
        </is>
      </c>
      <c r="B7" s="5">
        <f>'Financeiro'!B18</f>
        <v/>
      </c>
      <c r="C7" s="6" t="inlineStr">
        <is>
          <t>&lt; 70% VGV</t>
        </is>
      </c>
      <c r="D7" s="7" t="inlineStr">
        <is>
          <t>✅</t>
        </is>
      </c>
    </row>
    <row r="8">
      <c r="A8" s="8" t="inlineStr">
        <is>
          <t>Lucro Bruto (antes impostos)</t>
        </is>
      </c>
      <c r="B8" s="9">
        <f>'Financeiro'!B19</f>
        <v/>
      </c>
      <c r="C8" s="10" t="inlineStr">
        <is>
          <t>—</t>
        </is>
      </c>
      <c r="D8" s="7" t="inlineStr">
        <is>
          <t>✅</t>
        </is>
      </c>
    </row>
    <row r="9">
      <c r="A9" s="4" t="inlineStr">
        <is>
          <t>Margem Bruta</t>
        </is>
      </c>
      <c r="B9" s="11">
        <f>'Financeiro'!C19</f>
        <v/>
      </c>
      <c r="C9" s="6" t="inlineStr">
        <is>
          <t>&gt; 20%</t>
        </is>
      </c>
      <c r="D9" s="7" t="inlineStr">
        <is>
          <t>✅</t>
        </is>
      </c>
    </row>
    <row r="10">
      <c r="A10" s="8" t="inlineStr">
        <is>
          <t>Lucro Líquido Estimado</t>
        </is>
      </c>
      <c r="B10" s="9">
        <f>'Financeiro'!B20</f>
        <v/>
      </c>
      <c r="C10" s="10" t="inlineStr">
        <is>
          <t>—</t>
        </is>
      </c>
      <c r="D10" s="7" t="inlineStr">
        <is>
          <t>✅</t>
        </is>
      </c>
    </row>
    <row r="11">
      <c r="A11" s="4" t="inlineStr">
        <is>
          <t>Margem Líquida</t>
        </is>
      </c>
      <c r="B11" s="11">
        <f>'Financeiro'!C20</f>
        <v/>
      </c>
      <c r="C11" s="6" t="inlineStr">
        <is>
          <t>&gt; 15%</t>
        </is>
      </c>
      <c r="D11" s="7" t="inlineStr">
        <is>
          <t>✅</t>
        </is>
      </c>
    </row>
    <row r="12">
      <c r="A12" s="8" t="inlineStr">
        <is>
          <t>Net Empreendedor (pós-impostos)</t>
        </is>
      </c>
      <c r="B12" s="9">
        <f>'Financeiro'!B23</f>
        <v/>
      </c>
      <c r="C12" s="10" t="inlineStr">
        <is>
          <t>—</t>
        </is>
      </c>
      <c r="D12" s="7" t="inlineStr">
        <is>
          <t>✅</t>
        </is>
      </c>
    </row>
    <row r="13">
      <c r="A13" s="4" t="inlineStr">
        <is>
          <t>Net Terrenista (35%)</t>
        </is>
      </c>
      <c r="B13" s="5">
        <f>'Financeiro'!B24</f>
        <v/>
      </c>
      <c r="C13" s="6" t="inlineStr">
        <is>
          <t>—</t>
        </is>
      </c>
      <c r="D13" s="7" t="inlineStr">
        <is>
          <t>✅</t>
        </is>
      </c>
    </row>
    <row r="14">
      <c r="A14" s="8" t="inlineStr">
        <is>
          <t>Payback Capital Próprio</t>
        </is>
      </c>
      <c r="B14" s="12">
        <f>'Financeiro'!B28</f>
        <v/>
      </c>
      <c r="C14" s="10" t="inlineStr">
        <is>
          <t>&lt; 48 meses</t>
        </is>
      </c>
      <c r="D14" s="7" t="inlineStr">
        <is>
          <t>✅</t>
        </is>
      </c>
    </row>
    <row r="15">
      <c r="A15" s="4" t="inlineStr">
        <is>
          <t>VPL (TMA 12% a.a.)</t>
        </is>
      </c>
      <c r="B15" s="5">
        <f>'Fluxo_Caixa'!B25</f>
        <v/>
      </c>
      <c r="C15" s="6" t="inlineStr">
        <is>
          <t>&gt; 0</t>
        </is>
      </c>
      <c r="D15" s="7" t="inlineStr">
        <is>
          <t>✅</t>
        </is>
      </c>
    </row>
    <row r="16">
      <c r="A16" s="8" t="inlineStr">
        <is>
          <t>TIR estimada</t>
        </is>
      </c>
      <c r="B16" s="13">
        <f>'Fluxo_Caixa'!B26</f>
        <v/>
      </c>
      <c r="C16" s="10" t="inlineStr">
        <is>
          <t>&gt; 12% a.a.</t>
        </is>
      </c>
      <c r="D16" s="7" t="inlineStr">
        <is>
          <t>✅</t>
        </is>
      </c>
    </row>
    <row r="18">
      <c r="A18" s="14" t="inlineStr">
        <is>
          <t>⚠️  PONTOS DE ATENÇÃO</t>
        </is>
      </c>
    </row>
    <row r="19" ht="18" customHeight="1">
      <c r="A19" s="15" t="inlineStr">
        <is>
          <t xml:space="preserve">  • R$ 4,43M de infraestrutura financiada pelas vendas → exige vendas fortes no lançamento</t>
        </is>
      </c>
    </row>
    <row r="20" ht="18" customHeight="1">
      <c r="A20" s="15" t="inlineStr">
        <is>
          <t xml:space="preserve">  • Velocidade de vendas não testada (mercado parado há +1 ano) → recomendado pré-cadastro antes do lançamento</t>
        </is>
      </c>
    </row>
    <row r="21" ht="18" customHeight="1">
      <c r="A21" s="15" t="inlineStr">
        <is>
          <t xml:space="preserve">  • Impostos precisam de validação com contador especializado em loteamento</t>
        </is>
      </c>
    </row>
    <row r="22" ht="18" customHeight="1">
      <c r="A22" s="15" t="inlineStr">
        <is>
          <t xml:space="preserve">  • Contrato de parceria ainda não assinado → formalizar antes de qualquer custo</t>
        </is>
      </c>
    </row>
    <row r="24" ht="24" customHeight="1">
      <c r="A24" s="16" t="inlineStr">
        <is>
          <t>✅  RECOMENDAÇÃO: GO — EMPREENDIMENTO VIÁVEL PARA AVANÇAR</t>
        </is>
      </c>
    </row>
  </sheetData>
  <mergeCells count="8">
    <mergeCell ref="A24:F24"/>
    <mergeCell ref="A2:F2"/>
    <mergeCell ref="A19:F19"/>
    <mergeCell ref="A1:F1"/>
    <mergeCell ref="A22:F2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7" t="inlineStr">
        <is>
          <t>PREMISSAS DO EMPREENDIMENTO</t>
        </is>
      </c>
    </row>
    <row r="2">
      <c r="A2" s="18" t="inlineStr">
        <is>
          <t>DADOS DO TERRENO</t>
        </is>
      </c>
    </row>
    <row r="3">
      <c r="A3" s="19" t="inlineStr">
        <is>
          <t>Área bruta total (ha)</t>
        </is>
      </c>
      <c r="B3" s="20" t="n">
        <v>16</v>
      </c>
      <c r="C3" s="21" t="inlineStr">
        <is>
          <t>ha</t>
        </is>
      </c>
    </row>
    <row r="4">
      <c r="A4" s="22" t="inlineStr">
        <is>
          <t>Área bruta total (m²)</t>
        </is>
      </c>
      <c r="B4" s="20">
        <f>B2*10000</f>
        <v/>
      </c>
      <c r="C4" s="23" t="inlineStr">
        <is>
          <t>m²</t>
        </is>
      </c>
    </row>
    <row r="5">
      <c r="A5" s="19" t="inlineStr">
        <is>
          <t>Localização</t>
        </is>
      </c>
      <c r="B5" s="20" t="inlineStr">
        <is>
          <t>Papagaios/MG</t>
        </is>
      </c>
      <c r="C5" s="21" t="inlineStr"/>
    </row>
    <row r="6">
      <c r="A6" s="22" t="inlineStr">
        <is>
          <t>Tipo</t>
        </is>
      </c>
      <c r="B6" s="20" t="inlineStr">
        <is>
          <t>Urbano — Loteamento Popular</t>
        </is>
      </c>
      <c r="C6" s="23" t="inlineStr"/>
    </row>
    <row r="7">
      <c r="A7" s="19" t="inlineStr">
        <is>
          <t>Restrições conhecidas</t>
        </is>
      </c>
      <c r="B7" s="20" t="inlineStr">
        <is>
          <t>Nenhuma</t>
        </is>
      </c>
      <c r="C7" s="21" t="inlineStr"/>
    </row>
    <row r="8">
      <c r="A8" s="22" t="inlineStr">
        <is>
          <t>Zoneamento</t>
        </is>
      </c>
      <c r="B8" s="20" t="inlineStr">
        <is>
          <t>Zona Urbana</t>
        </is>
      </c>
      <c r="C8" s="23" t="inlineStr"/>
    </row>
    <row r="10">
      <c r="A10" s="18" t="inlineStr">
        <is>
          <t>PARÂMETROS URBANÍSTICOS (Lei 6.766/79)</t>
        </is>
      </c>
    </row>
    <row r="11">
      <c r="A11" s="19" t="inlineStr">
        <is>
          <t>Deduções — Vias públicas (%)</t>
        </is>
      </c>
      <c r="B11" s="24" t="n">
        <v>0.25</v>
      </c>
      <c r="C11" s="21" t="inlineStr">
        <is>
          <t>%</t>
        </is>
      </c>
    </row>
    <row r="12">
      <c r="A12" s="22" t="inlineStr">
        <is>
          <t>Deduções — Áreas verdes (%)</t>
        </is>
      </c>
      <c r="B12" s="24" t="n">
        <v>0.1</v>
      </c>
      <c r="C12" s="23" t="inlineStr">
        <is>
          <t>%</t>
        </is>
      </c>
    </row>
    <row r="13">
      <c r="A13" s="19" t="inlineStr">
        <is>
          <t>Deduções — Área institucional (%)</t>
        </is>
      </c>
      <c r="B13" s="24" t="n">
        <v>0.08</v>
      </c>
      <c r="C13" s="21" t="inlineStr">
        <is>
          <t>%</t>
        </is>
      </c>
    </row>
    <row r="14">
      <c r="A14" s="22" t="inlineStr">
        <is>
          <t>Total de deduções (%)</t>
        </is>
      </c>
      <c r="B14" s="20">
        <f>B9+B10+B11</f>
        <v/>
      </c>
      <c r="C14" s="23" t="inlineStr">
        <is>
          <t>%</t>
        </is>
      </c>
    </row>
    <row r="15">
      <c r="A15" s="19" t="inlineStr">
        <is>
          <t>Área líquida (%)</t>
        </is>
      </c>
      <c r="B15" s="20">
        <f>1-B12</f>
        <v/>
      </c>
      <c r="C15" s="21" t="inlineStr">
        <is>
          <t>%</t>
        </is>
      </c>
    </row>
    <row r="16">
      <c r="A16" s="22" t="inlineStr">
        <is>
          <t>Área líquida (m²)</t>
        </is>
      </c>
      <c r="B16" s="20">
        <f>B4*B13</f>
        <v/>
      </c>
      <c r="C16" s="23" t="inlineStr">
        <is>
          <t>m²</t>
        </is>
      </c>
    </row>
    <row r="17">
      <c r="A17" s="19" t="inlineStr">
        <is>
          <t>Tamanho do lote (m²)</t>
        </is>
      </c>
      <c r="B17" s="25" t="n">
        <v>300</v>
      </c>
      <c r="C17" s="21" t="inlineStr">
        <is>
          <t>m²</t>
        </is>
      </c>
    </row>
    <row r="18">
      <c r="A18" s="22" t="inlineStr">
        <is>
          <t>Número de lotes</t>
        </is>
      </c>
      <c r="B18" s="20">
        <f>INT(B14/B15)</f>
        <v/>
      </c>
      <c r="C18" s="23" t="inlineStr">
        <is>
          <t>unidades</t>
        </is>
      </c>
    </row>
    <row r="20">
      <c r="A20" s="18" t="inlineStr">
        <is>
          <t>PARCERIA E COMERCIALIZAÇÃO</t>
        </is>
      </c>
    </row>
    <row r="21">
      <c r="A21" s="19" t="inlineStr">
        <is>
          <t>Modelo</t>
        </is>
      </c>
      <c r="B21" s="20" t="inlineStr">
        <is>
          <t>Permuta financeira</t>
        </is>
      </c>
      <c r="C21" s="21" t="inlineStr"/>
    </row>
    <row r="22">
      <c r="A22" s="22" t="inlineStr">
        <is>
          <t>% Empreendedor</t>
        </is>
      </c>
      <c r="B22" s="24" t="n">
        <v>0.65</v>
      </c>
      <c r="C22" s="23" t="inlineStr">
        <is>
          <t>%</t>
        </is>
      </c>
    </row>
    <row r="23">
      <c r="A23" s="19" t="inlineStr">
        <is>
          <t>% Terrenista</t>
        </is>
      </c>
      <c r="B23" s="24" t="n">
        <v>0.35</v>
      </c>
      <c r="C23" s="21" t="inlineStr">
        <is>
          <t>%</t>
        </is>
      </c>
    </row>
    <row r="24">
      <c r="A24" s="22" t="inlineStr">
        <is>
          <t>Preço de venda por lote (R$)</t>
        </is>
      </c>
      <c r="B24" s="26" t="n">
        <v>75000</v>
      </c>
      <c r="C24" s="23" t="inlineStr">
        <is>
          <t>R$</t>
        </is>
      </c>
    </row>
    <row r="25">
      <c r="A25" s="19" t="inlineStr">
        <is>
          <t>Preço por m² (R$)</t>
        </is>
      </c>
      <c r="B25" s="20">
        <f>B21/B15</f>
        <v/>
      </c>
      <c r="C25" s="21" t="inlineStr">
        <is>
          <t>R$/m²</t>
        </is>
      </c>
    </row>
    <row r="26">
      <c r="A26" s="22" t="inlineStr">
        <is>
          <t>VGV Total (R$)</t>
        </is>
      </c>
      <c r="B26" s="20">
        <f>B16*B21</f>
        <v/>
      </c>
      <c r="C26" s="23" t="inlineStr">
        <is>
          <t>R$</t>
        </is>
      </c>
    </row>
    <row r="27">
      <c r="A27" s="19" t="inlineStr">
        <is>
          <t>VGV Empreendedor (R$)</t>
        </is>
      </c>
      <c r="B27" s="20">
        <f>B23*B18</f>
        <v/>
      </c>
      <c r="C27" s="21" t="inlineStr">
        <is>
          <t>R$</t>
        </is>
      </c>
    </row>
    <row r="28">
      <c r="A28" s="22" t="inlineStr">
        <is>
          <t>VGV Terrenista (R$)</t>
        </is>
      </c>
      <c r="B28" s="20">
        <f>B23*B19</f>
        <v/>
      </c>
      <c r="C28" s="23" t="inlineStr">
        <is>
          <t>R$</t>
        </is>
      </c>
    </row>
  </sheetData>
  <mergeCells count="4">
    <mergeCell ref="A1:C1"/>
    <mergeCell ref="A20:C20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22" customWidth="1" min="4" max="4"/>
  </cols>
  <sheetData>
    <row r="1">
      <c r="A1" s="17" t="inlineStr">
        <is>
          <t>ANÁLISE FINANCEIRA — CUSTOS, RECEITAS E DISTRIBUIÇÃO</t>
        </is>
      </c>
    </row>
    <row r="2">
      <c r="A2" s="3" t="inlineStr">
        <is>
          <t>ITEM</t>
        </is>
      </c>
      <c r="B2" s="3" t="inlineStr">
        <is>
          <t>VALOR (R$)</t>
        </is>
      </c>
      <c r="C2" s="3" t="inlineStr">
        <is>
          <t>% DO VGV</t>
        </is>
      </c>
      <c r="D2" s="3" t="inlineStr">
        <is>
          <t>OBSERVAÇÃO</t>
        </is>
      </c>
    </row>
    <row r="3">
      <c r="A3" s="27" t="inlineStr">
        <is>
          <t>RECEITA</t>
        </is>
      </c>
    </row>
    <row r="4">
      <c r="A4" s="4" t="inlineStr">
        <is>
          <t>VGV Total (304 lotes × R$ 75.000)</t>
        </is>
      </c>
      <c r="B4" s="28">
        <f>Premissas!B23</f>
        <v/>
      </c>
      <c r="C4" s="29" t="n">
        <v>1</v>
      </c>
      <c r="D4" s="30" t="inlineStr">
        <is>
          <t>Premissas!B23</t>
        </is>
      </c>
    </row>
    <row r="5">
      <c r="A5" s="27" t="inlineStr">
        <is>
          <t>CUSTOS DO EMPREENDIMENTO</t>
        </is>
      </c>
    </row>
    <row r="6">
      <c r="A6" s="31" t="inlineStr">
        <is>
          <t>Infraestrutura — Terraplanagem (R$ 4/m² × 160.000 m²)</t>
        </is>
      </c>
      <c r="B6" s="32" t="n">
        <v>640000</v>
      </c>
      <c r="C6" s="33">
        <f>B6/B4</f>
        <v/>
      </c>
      <c r="D6" s="31" t="inlineStr">
        <is>
          <t>Leve declividade</t>
        </is>
      </c>
    </row>
    <row r="7">
      <c r="A7" s="34" t="inlineStr">
        <is>
          <t>Infraestrutura — Pavimentação completa (R$ 60/m² × 40.000 m²)</t>
        </is>
      </c>
      <c r="B7" s="35" t="n">
        <v>2400000</v>
      </c>
      <c r="C7" s="36">
        <f>B7/B4</f>
        <v/>
      </c>
      <c r="D7" s="34" t="inlineStr">
        <is>
          <t>Usuário confirmou R$ 60/m²</t>
        </is>
      </c>
    </row>
    <row r="8">
      <c r="A8" s="31" t="inlineStr">
        <is>
          <t>Infraestrutura — Drenagem pluvial (R$ 20/m² × 40.000 m²)</t>
        </is>
      </c>
      <c r="B8" s="32" t="n">
        <v>480000</v>
      </c>
      <c r="C8" s="33">
        <f>B8/B4</f>
        <v/>
      </c>
      <c r="D8" s="31" t="inlineStr">
        <is>
          <t>Galerias e bocas-de-lobo</t>
        </is>
      </c>
    </row>
    <row r="9">
      <c r="A9" s="34" t="inlineStr">
        <is>
          <t>Infraestrutura — Rede de água (COPASA, 304 lotes)</t>
        </is>
      </c>
      <c r="B9" s="35" t="n">
        <v>350000</v>
      </c>
      <c r="C9" s="36">
        <f>B9/B4</f>
        <v/>
      </c>
      <c r="D9" s="34" t="inlineStr">
        <is>
          <t>R$ 1.151/lote</t>
        </is>
      </c>
    </row>
    <row r="10">
      <c r="A10" s="31" t="inlineStr">
        <is>
          <t>Infraestrutura — Rede de esgoto (50m + rede interna)</t>
        </is>
      </c>
      <c r="B10" s="32" t="n">
        <v>420000</v>
      </c>
      <c r="C10" s="33">
        <f>B10/B4</f>
        <v/>
      </c>
      <c r="D10" s="31" t="inlineStr">
        <is>
          <t>R$ 1.382/lote</t>
        </is>
      </c>
    </row>
    <row r="11">
      <c r="A11" s="34" t="inlineStr">
        <is>
          <t>Infraestrutura — Energia elétrica CEMIG</t>
        </is>
      </c>
      <c r="B11" s="35" t="n">
        <v>520000</v>
      </c>
      <c r="C11" s="36">
        <f>B11/B4</f>
        <v/>
      </c>
      <c r="D11" s="34" t="inlineStr">
        <is>
          <t>R$ 1.711/lote</t>
        </is>
      </c>
    </row>
    <row r="12">
      <c r="A12" s="31" t="inlineStr">
        <is>
          <t>Infraestrutura — Iluminação pública (140 pontos)</t>
        </is>
      </c>
      <c r="B12" s="32" t="n">
        <v>350000</v>
      </c>
      <c r="C12" s="33">
        <f>B12/B4</f>
        <v/>
      </c>
      <c r="D12" s="31" t="inlineStr">
        <is>
          <t>R$ 2.500/ponto</t>
        </is>
      </c>
    </row>
    <row r="13">
      <c r="A13" s="34" t="inlineStr">
        <is>
          <t>Infraestrutura — Sinalização e acabamentos</t>
        </is>
      </c>
      <c r="B13" s="35" t="n">
        <v>120000</v>
      </c>
      <c r="C13" s="36">
        <f>B13/B4</f>
        <v/>
      </c>
      <c r="D13" s="34" t="inlineStr">
        <is>
          <t>Verba</t>
        </is>
      </c>
    </row>
    <row r="14">
      <c r="A14" s="31" t="inlineStr">
        <is>
          <t>Projetos urbanísticos e instalações</t>
        </is>
      </c>
      <c r="B14" s="32" t="n">
        <v>50000</v>
      </c>
      <c r="C14" s="33">
        <f>B14/B4</f>
        <v/>
      </c>
      <c r="D14" s="31" t="inlineStr">
        <is>
          <t>Orçamento informado</t>
        </is>
      </c>
    </row>
    <row r="15">
      <c r="A15" s="34" t="inlineStr">
        <is>
          <t>Licenças, cartório, INCRA, aprovações</t>
        </is>
      </c>
      <c r="B15" s="35" t="n">
        <v>100000</v>
      </c>
      <c r="C15" s="36">
        <f>B15/B4</f>
        <v/>
      </c>
      <c r="D15" s="34" t="inlineStr">
        <is>
          <t>Estimativa</t>
        </is>
      </c>
    </row>
    <row r="16">
      <c r="A16" s="31" t="inlineStr">
        <is>
          <t>Corretagem (6% do VGV)</t>
        </is>
      </c>
      <c r="B16" s="32">
        <f>B4*0.06</f>
        <v/>
      </c>
      <c r="C16" s="33">
        <f>B16/B4</f>
        <v/>
      </c>
      <c r="D16" s="31" t="inlineStr">
        <is>
          <t>6% sobre VGV</t>
        </is>
      </c>
    </row>
    <row r="17">
      <c r="A17" s="34" t="inlineStr">
        <is>
          <t>Marketing e lançamento (2% do VGV)</t>
        </is>
      </c>
      <c r="B17" s="35">
        <f>B4*0.02</f>
        <v/>
      </c>
      <c r="C17" s="36">
        <f>B17/B4</f>
        <v/>
      </c>
      <c r="D17" s="34" t="inlineStr">
        <is>
          <t>2% sobre VGV</t>
        </is>
      </c>
    </row>
    <row r="18">
      <c r="A18" s="31" t="inlineStr">
        <is>
          <t>Administração (3% do VGV)</t>
        </is>
      </c>
      <c r="B18" s="32">
        <f>B4*0.03</f>
        <v/>
      </c>
      <c r="C18" s="33">
        <f>B18/B4</f>
        <v/>
      </c>
      <c r="D18" s="31" t="inlineStr">
        <is>
          <t>3% sobre VGV</t>
        </is>
      </c>
    </row>
    <row r="19">
      <c r="A19" s="34" t="inlineStr">
        <is>
          <t>Custo financeiro / capital de giro (3% do VGV)</t>
        </is>
      </c>
      <c r="B19" s="35">
        <f>B4*0.03</f>
        <v/>
      </c>
      <c r="C19" s="36">
        <f>B19/B4</f>
        <v/>
      </c>
      <c r="D19" s="34" t="inlineStr">
        <is>
          <t>3% sobre VGV</t>
        </is>
      </c>
    </row>
    <row r="20">
      <c r="A20" s="31" t="inlineStr">
        <is>
          <t>Contingência (3% do VGV)</t>
        </is>
      </c>
      <c r="B20" s="32">
        <f>B4*0.03</f>
        <v/>
      </c>
      <c r="C20" s="33">
        <f>B20/B4</f>
        <v/>
      </c>
      <c r="D20" s="31" t="inlineStr">
        <is>
          <t>3% sobre VGV</t>
        </is>
      </c>
    </row>
    <row r="21">
      <c r="A21" s="3" t="inlineStr">
        <is>
          <t>TOTAL CUSTOS OPERACIONAIS</t>
        </is>
      </c>
      <c r="B21" s="37">
        <f>SUM(B6:B20)</f>
        <v/>
      </c>
      <c r="C21" s="38">
        <f>B21/B4</f>
        <v/>
      </c>
    </row>
    <row r="22">
      <c r="A22" s="39" t="inlineStr">
        <is>
          <t>Impostos estimados — Lucro Presumido (~6,5% VGV)</t>
        </is>
      </c>
      <c r="B22" s="40">
        <f>B4*0.065</f>
        <v/>
      </c>
      <c r="C22" s="41">
        <f>B22/B4</f>
        <v/>
      </c>
      <c r="D22" s="39" t="inlineStr">
        <is>
          <t>PIS+COFINS+IRPJ+CSLL — validar com contador</t>
        </is>
      </c>
    </row>
    <row r="23">
      <c r="A23" s="27" t="inlineStr">
        <is>
          <t>TOTAL CUSTOS (com impostos)</t>
        </is>
      </c>
      <c r="B23" s="28">
        <f>B21+B22</f>
        <v/>
      </c>
      <c r="C23" s="29">
        <f>B23/B4</f>
        <v/>
      </c>
    </row>
    <row r="24">
      <c r="A24" s="27" t="inlineStr">
        <is>
          <t>RESULTADOS</t>
        </is>
      </c>
    </row>
    <row r="25">
      <c r="A25" s="7" t="inlineStr">
        <is>
          <t>Lucro Bruto (antes impostos)</t>
        </is>
      </c>
      <c r="B25" s="37">
        <f>B4-B21</f>
        <v/>
      </c>
      <c r="C25" s="42">
        <f>B25/B4</f>
        <v/>
      </c>
      <c r="D25" s="43" t="inlineStr">
        <is>
          <t>Margem Bruta</t>
        </is>
      </c>
    </row>
    <row r="26">
      <c r="A26" s="7" t="inlineStr">
        <is>
          <t>Lucro Líquido (após impostos)</t>
        </is>
      </c>
      <c r="B26" s="37">
        <f>B4-B23</f>
        <v/>
      </c>
      <c r="C26" s="42">
        <f>B26/B4</f>
        <v/>
      </c>
      <c r="D26" s="43" t="inlineStr">
        <is>
          <t>Margem Líquida</t>
        </is>
      </c>
    </row>
    <row r="27">
      <c r="A27" s="27" t="inlineStr">
        <is>
          <t>DISTRIBUIÇÃO (base = Lucro antes impostos)</t>
        </is>
      </c>
    </row>
    <row r="28">
      <c r="A28" s="4" t="inlineStr">
        <is>
          <t>Net Empreendedor (65% do lucro bruto — impostos)</t>
        </is>
      </c>
      <c r="B28" s="28">
        <f>B25*Premissas!B18-B22*Premissas!B18</f>
        <v/>
      </c>
    </row>
    <row r="29">
      <c r="A29" s="44" t="inlineStr">
        <is>
          <t>Net Terrenista (35% do lucro bruto)</t>
        </is>
      </c>
      <c r="B29" s="45">
        <f>B25*Premissas!B19</f>
        <v/>
      </c>
    </row>
    <row r="30">
      <c r="A30" s="27" t="inlineStr">
        <is>
          <t>PAYBACK</t>
        </is>
      </c>
    </row>
    <row r="31">
      <c r="A31" s="31" t="inlineStr">
        <is>
          <t>Capital próprio disponível (R$)</t>
        </is>
      </c>
      <c r="B31" s="46" t="n">
        <v>1000000</v>
      </c>
      <c r="C31" s="31" t="inlineStr">
        <is>
          <t>Informado pelo investidor</t>
        </is>
      </c>
      <c r="D31" s="47" t="n"/>
    </row>
    <row r="32">
      <c r="A32" s="31" t="inlineStr">
        <is>
          <t>Payback do capital próprio (meses estimados)</t>
        </is>
      </c>
      <c r="B32" s="48" t="n">
        <v>8</v>
      </c>
      <c r="C32" s="31" t="inlineStr">
        <is>
          <t>Estimativa: ~6-9 meses pós-lançamento</t>
        </is>
      </c>
      <c r="D32" s="47" t="n"/>
    </row>
  </sheetData>
  <mergeCells count="11">
    <mergeCell ref="A1:D1"/>
    <mergeCell ref="B3:D3"/>
    <mergeCell ref="B5:D5"/>
    <mergeCell ref="C29:D29"/>
    <mergeCell ref="C32:D32"/>
    <mergeCell ref="D21"/>
    <mergeCell ref="B27:D27"/>
    <mergeCell ref="C28:D28"/>
    <mergeCell ref="B30:D30"/>
    <mergeCell ref="C31:D31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7" t="inlineStr">
        <is>
          <t>FLUXO DE CAIXA — PERSPECTIVA DO EMPREENDEDOR (Simplificado)</t>
        </is>
      </c>
    </row>
    <row r="2">
      <c r="A2" s="3" t="inlineStr">
        <is>
          <t>ITEM</t>
        </is>
      </c>
      <c r="B2" s="3" t="inlineStr">
        <is>
          <t>ANO 0</t>
        </is>
      </c>
      <c r="C2" s="3" t="inlineStr">
        <is>
          <t>ANO 1</t>
        </is>
      </c>
      <c r="D2" s="3" t="inlineStr">
        <is>
          <t>ANO 2</t>
        </is>
      </c>
      <c r="E2" s="3" t="inlineStr">
        <is>
          <t>ANO 3</t>
        </is>
      </c>
      <c r="F2" s="3" t="inlineStr">
        <is>
          <t>ANO 4</t>
        </is>
      </c>
    </row>
    <row r="3">
      <c r="A3" s="31" t="inlineStr">
        <is>
          <t>Receita de vendas (65% VGV)</t>
        </is>
      </c>
      <c r="B3" s="32" t="n">
        <v>0</v>
      </c>
      <c r="C3" s="32" t="n">
        <v>3510000</v>
      </c>
      <c r="D3" s="32" t="n">
        <v>7410000</v>
      </c>
      <c r="E3" s="32" t="n">
        <v>7410000</v>
      </c>
      <c r="F3" s="32" t="n">
        <v>4470000</v>
      </c>
    </row>
    <row r="4">
      <c r="A4" s="34" t="inlineStr">
        <is>
          <t>(-) Infraestrutura e obras</t>
        </is>
      </c>
      <c r="B4" s="49" t="n">
        <v>-500000</v>
      </c>
      <c r="C4" s="49" t="n">
        <v>-2000000</v>
      </c>
      <c r="D4" s="49" t="n">
        <v>-1800000</v>
      </c>
      <c r="E4" s="49" t="n">
        <v>-900000</v>
      </c>
      <c r="F4" s="49" t="n">
        <v>-230000</v>
      </c>
    </row>
    <row r="5">
      <c r="A5" s="31" t="inlineStr">
        <is>
          <t>(-) Custos comerciais e admin</t>
        </is>
      </c>
      <c r="B5" s="32" t="n">
        <v>0</v>
      </c>
      <c r="C5" s="50" t="n">
        <v>-760000</v>
      </c>
      <c r="D5" s="50" t="n">
        <v>-1014000</v>
      </c>
      <c r="E5" s="50" t="n">
        <v>-785000</v>
      </c>
      <c r="F5" s="50" t="n">
        <v>-405000</v>
      </c>
    </row>
    <row r="6">
      <c r="A6" s="34" t="inlineStr">
        <is>
          <t>(-) Pagamento terrenista (35%)</t>
        </is>
      </c>
      <c r="B6" s="35" t="n">
        <v>0</v>
      </c>
      <c r="C6" s="49" t="n">
        <v>-1012500</v>
      </c>
      <c r="D6" s="49" t="n">
        <v>-2137500</v>
      </c>
      <c r="E6" s="49" t="n">
        <v>-2137500</v>
      </c>
      <c r="F6" s="49" t="n">
        <v>-1287500</v>
      </c>
    </row>
    <row r="7">
      <c r="A7" s="31" t="inlineStr">
        <is>
          <t>(-) Impostos</t>
        </is>
      </c>
      <c r="B7" s="32" t="n">
        <v>0</v>
      </c>
      <c r="C7" s="50" t="n">
        <v>-228150</v>
      </c>
      <c r="D7" s="50" t="n">
        <v>-481950</v>
      </c>
      <c r="E7" s="50" t="n">
        <v>-481950</v>
      </c>
      <c r="F7" s="50" t="n">
        <v>-290850</v>
      </c>
    </row>
    <row r="8">
      <c r="A8" s="51" t="inlineStr">
        <is>
          <t>(-) Capital próprio investido</t>
        </is>
      </c>
      <c r="B8" s="52" t="n">
        <v>-1000000</v>
      </c>
      <c r="C8" s="53" t="n">
        <v>0</v>
      </c>
      <c r="D8" s="53" t="n">
        <v>0</v>
      </c>
      <c r="E8" s="53" t="n">
        <v>0</v>
      </c>
      <c r="F8" s="53" t="n">
        <v>0</v>
      </c>
    </row>
    <row r="9">
      <c r="A9" s="27" t="inlineStr">
        <is>
          <t>FLUXO LÍQUIDO DO EMPREENDEDOR</t>
        </is>
      </c>
      <c r="B9" s="54" t="n">
        <v>-1500000</v>
      </c>
      <c r="C9" s="54" t="n">
        <v>-490150</v>
      </c>
      <c r="D9" s="55" t="n">
        <v>1976550</v>
      </c>
      <c r="E9" s="55" t="n">
        <v>3105550</v>
      </c>
      <c r="F9" s="55" t="n">
        <v>2256650</v>
      </c>
    </row>
    <row r="10">
      <c r="A10" s="3" t="inlineStr">
        <is>
          <t>FLUXO ACUMULADO</t>
        </is>
      </c>
      <c r="B10" s="56" t="n">
        <v>-1500000</v>
      </c>
      <c r="C10" s="56" t="n">
        <v>-1990150</v>
      </c>
      <c r="D10" s="56" t="n">
        <v>-13600</v>
      </c>
      <c r="E10" s="55" t="n">
        <v>3091950</v>
      </c>
      <c r="F10" s="55" t="n">
        <v>5348600</v>
      </c>
    </row>
    <row r="12">
      <c r="A12" s="44" t="inlineStr">
        <is>
          <t>TMA (Taxa Mínima de Atratividade)</t>
        </is>
      </c>
      <c r="B12" s="57" t="n">
        <v>0.12</v>
      </c>
      <c r="C12" s="31" t="inlineStr">
        <is>
          <t>12% a.a. (referência de mercado)</t>
        </is>
      </c>
      <c r="D12" s="58" t="n"/>
      <c r="E12" s="58" t="n"/>
      <c r="F12" s="47" t="n"/>
    </row>
    <row r="13">
      <c r="A13" s="44" t="inlineStr">
        <is>
          <t>VPL — Valor Presente Líquido</t>
        </is>
      </c>
      <c r="B13" s="59">
        <f>NPV(B12,C9:F9)+B9</f>
        <v/>
      </c>
      <c r="C13" s="31" t="inlineStr">
        <is>
          <t>VPL &gt; 0 confirma viabilidade</t>
        </is>
      </c>
      <c r="D13" s="58" t="n"/>
      <c r="E13" s="58" t="n"/>
      <c r="F13" s="47" t="n"/>
    </row>
    <row r="14">
      <c r="A14" s="44" t="inlineStr">
        <is>
          <t>TIR — Taxa Interna de Retorno</t>
        </is>
      </c>
      <c r="B14" s="60">
        <f>IRR(B9:F9)</f>
        <v/>
      </c>
      <c r="C14" s="31" t="inlineStr">
        <is>
          <t>TIR &gt;&gt; TMA = excelente retorno</t>
        </is>
      </c>
      <c r="D14" s="58" t="n"/>
      <c r="E14" s="58" t="n"/>
      <c r="F14" s="47" t="n"/>
    </row>
    <row r="16" ht="30" customHeight="1">
      <c r="A16" s="61" t="inlineStr">
        <is>
          <t>⚠ TIR alta reflete alavancagem do capital próprio (R$ 1M) com restante financiado pelas vendas. Ajuste os fluxos de caixa conforme evolução real das vendas.</t>
        </is>
      </c>
    </row>
  </sheetData>
  <mergeCells count="5">
    <mergeCell ref="C13:F13"/>
    <mergeCell ref="A16:F16"/>
    <mergeCell ref="A1:F1"/>
    <mergeCell ref="C12:F12"/>
    <mergeCell ref="C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7" t="inlineStr">
        <is>
          <t>ANÁLISE DE CENÁRIOS — PREÇO DE VENDA vs VELOCIDADE DE VENDAS</t>
        </is>
      </c>
    </row>
    <row r="2">
      <c r="A2" s="3" t="inlineStr">
        <is>
          <t>INDICADOR</t>
        </is>
      </c>
      <c r="B2" s="62" t="inlineStr">
        <is>
          <t>PESSIMISTA</t>
        </is>
      </c>
      <c r="C2" s="63" t="inlineStr">
        <is>
          <t>MODERADO</t>
        </is>
      </c>
      <c r="D2" s="64" t="inlineStr">
        <is>
          <t>OTIMISTA</t>
        </is>
      </c>
    </row>
    <row r="3">
      <c r="A3" s="65" t="inlineStr">
        <is>
          <t>Preço de venda por lote (R$)</t>
        </is>
      </c>
      <c r="B3" s="66" t="n">
        <v>60000</v>
      </c>
      <c r="C3" s="66" t="n">
        <v>75000</v>
      </c>
      <c r="D3" s="66" t="n">
        <v>90000</v>
      </c>
    </row>
    <row r="4">
      <c r="A4" s="31" t="inlineStr">
        <is>
          <t>Velocidade de vendas (lotes/mês)</t>
        </is>
      </c>
      <c r="B4" s="67" t="n">
        <v>6</v>
      </c>
      <c r="C4" s="67" t="n">
        <v>12</v>
      </c>
      <c r="D4" s="67" t="n">
        <v>18</v>
      </c>
    </row>
    <row r="5">
      <c r="A5" s="68" t="inlineStr">
        <is>
          <t>VGV Total (R$)</t>
        </is>
      </c>
      <c r="B5" s="69">
        <f>B3*304</f>
        <v/>
      </c>
      <c r="C5" s="69">
        <f>C3*304</f>
        <v/>
      </c>
      <c r="D5" s="69">
        <f>D3*304</f>
        <v/>
      </c>
    </row>
    <row r="6">
      <c r="A6" s="31" t="inlineStr">
        <is>
          <t>Custo Total estimado (R$)</t>
        </is>
      </c>
      <c r="B6" s="32" t="n">
        <v>9306000</v>
      </c>
      <c r="C6" s="32" t="n">
        <v>9306000</v>
      </c>
      <c r="D6" s="32" t="n">
        <v>9306000</v>
      </c>
    </row>
    <row r="7">
      <c r="A7" s="43" t="inlineStr">
        <is>
          <t>Lucro Bruto (R$)</t>
        </is>
      </c>
      <c r="B7" s="70">
        <f>B5-B6</f>
        <v/>
      </c>
      <c r="C7" s="70">
        <f>C5-C6</f>
        <v/>
      </c>
      <c r="D7" s="70">
        <f>D5-D6</f>
        <v/>
      </c>
    </row>
    <row r="8">
      <c r="A8" s="43" t="inlineStr">
        <is>
          <t>Margem Bruta (%)</t>
        </is>
      </c>
      <c r="B8" s="71">
        <f>B7/B5</f>
        <v/>
      </c>
      <c r="C8" s="71">
        <f>C7/C5</f>
        <v/>
      </c>
      <c r="D8" s="71">
        <f>D7/D5</f>
        <v/>
      </c>
    </row>
    <row r="9">
      <c r="A9" s="4" t="inlineStr">
        <is>
          <t>Net Empreendedor 65% (R$)</t>
        </is>
      </c>
      <c r="B9" s="72">
        <f>B7*0.65</f>
        <v/>
      </c>
      <c r="C9" s="72">
        <f>C7*0.65</f>
        <v/>
      </c>
      <c r="D9" s="72">
        <f>D7*0.65</f>
        <v/>
      </c>
    </row>
    <row r="10">
      <c r="A10" s="31" t="inlineStr">
        <is>
          <t>Meses para vender tudo</t>
        </is>
      </c>
      <c r="B10" s="73">
        <f>304/B4</f>
        <v/>
      </c>
      <c r="C10" s="73">
        <f>304/C4</f>
        <v/>
      </c>
      <c r="D10" s="73">
        <f>304/D4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7" t="inlineStr">
        <is>
          <t>ORÇAMENTO DE INFRAESTRUTURA — LOTEAMENTO PAPAGAIOS/MG</t>
        </is>
      </c>
    </row>
    <row r="2">
      <c r="A2" s="3" t="inlineStr">
        <is>
          <t>ITEM</t>
        </is>
      </c>
      <c r="B2" s="3" t="inlineStr">
        <is>
          <t>QUANTIDADE</t>
        </is>
      </c>
      <c r="C2" s="3" t="inlineStr">
        <is>
          <t>UNIDADE</t>
        </is>
      </c>
      <c r="D2" s="3" t="inlineStr">
        <is>
          <t>UNIT (R$)</t>
        </is>
      </c>
      <c r="E2" s="3" t="inlineStr">
        <is>
          <t>TOTAL (R$)</t>
        </is>
      </c>
    </row>
    <row r="3">
      <c r="A3" s="31" t="inlineStr">
        <is>
          <t>Terraplanagem e regularização</t>
        </is>
      </c>
      <c r="B3" s="74" t="inlineStr">
        <is>
          <t>160.000</t>
        </is>
      </c>
      <c r="C3" s="75" t="inlineStr">
        <is>
          <t>m²</t>
        </is>
      </c>
      <c r="D3" s="76" t="n">
        <v>4</v>
      </c>
      <c r="E3" s="77">
        <f>D3*160000</f>
        <v/>
      </c>
    </row>
    <row r="4">
      <c r="A4" s="34" t="inlineStr">
        <is>
          <t>Pavimentação completa (ruas + calçadas + meio-fio)</t>
        </is>
      </c>
      <c r="B4" s="78" t="inlineStr">
        <is>
          <t>40.000</t>
        </is>
      </c>
      <c r="C4" s="10" t="inlineStr">
        <is>
          <t>m²</t>
        </is>
      </c>
      <c r="D4" s="76" t="n">
        <v>60</v>
      </c>
      <c r="E4" s="79">
        <f>D4*40000</f>
        <v/>
      </c>
    </row>
    <row r="5">
      <c r="A5" s="31" t="inlineStr">
        <is>
          <t>Drenagem pluvial (galerias, bocas-de-lobo)</t>
        </is>
      </c>
      <c r="B5" s="74" t="inlineStr">
        <is>
          <t>40.000</t>
        </is>
      </c>
      <c r="C5" s="75" t="inlineStr">
        <is>
          <t>m²</t>
        </is>
      </c>
      <c r="D5" s="76" t="n">
        <v>20</v>
      </c>
      <c r="E5" s="77">
        <f>D5*40000</f>
        <v/>
      </c>
    </row>
    <row r="6">
      <c r="A6" s="34" t="inlineStr">
        <is>
          <t>Rede de abastecimento de água (COPASA)</t>
        </is>
      </c>
      <c r="B6" s="78" t="inlineStr">
        <is>
          <t>304</t>
        </is>
      </c>
      <c r="C6" s="10" t="inlineStr">
        <is>
          <t>lotes</t>
        </is>
      </c>
      <c r="D6" s="76" t="n">
        <v>1151</v>
      </c>
      <c r="E6" s="79">
        <f>D6*304</f>
        <v/>
      </c>
    </row>
    <row r="7">
      <c r="A7" s="31" t="inlineStr">
        <is>
          <t>Rede de esgoto (ligação 50m + rede interna)</t>
        </is>
      </c>
      <c r="B7" s="74" t="inlineStr">
        <is>
          <t>304</t>
        </is>
      </c>
      <c r="C7" s="75" t="inlineStr">
        <is>
          <t>lotes</t>
        </is>
      </c>
      <c r="D7" s="76" t="n">
        <v>1382</v>
      </c>
      <c r="E7" s="77">
        <f>D7*304</f>
        <v/>
      </c>
    </row>
    <row r="8">
      <c r="A8" s="34" t="inlineStr">
        <is>
          <t>Energia elétrica — CEMIG (rede + transformadores)</t>
        </is>
      </c>
      <c r="B8" s="78" t="inlineStr">
        <is>
          <t>304</t>
        </is>
      </c>
      <c r="C8" s="10" t="inlineStr">
        <is>
          <t>lotes</t>
        </is>
      </c>
      <c r="D8" s="76" t="n">
        <v>1711</v>
      </c>
      <c r="E8" s="79">
        <f>D8*304</f>
        <v/>
      </c>
    </row>
    <row r="9">
      <c r="A9" s="31" t="inlineStr">
        <is>
          <t>Iluminação pública</t>
        </is>
      </c>
      <c r="B9" s="74" t="inlineStr">
        <is>
          <t>140</t>
        </is>
      </c>
      <c r="C9" s="75" t="inlineStr">
        <is>
          <t>pontos</t>
        </is>
      </c>
      <c r="D9" s="76" t="n">
        <v>2500</v>
      </c>
      <c r="E9" s="77">
        <f>D9*140</f>
        <v/>
      </c>
    </row>
    <row r="10">
      <c r="A10" s="34" t="inlineStr">
        <is>
          <t>Sinalização, paisagismo e acabamentos</t>
        </is>
      </c>
      <c r="B10" s="78" t="inlineStr">
        <is>
          <t>1</t>
        </is>
      </c>
      <c r="C10" s="10" t="inlineStr">
        <is>
          <t>verba</t>
        </is>
      </c>
      <c r="D10" s="76" t="n">
        <v>120000</v>
      </c>
      <c r="E10" s="79">
        <f>D10*1</f>
        <v/>
      </c>
    </row>
    <row r="11">
      <c r="A11" s="31" t="inlineStr">
        <is>
          <t>Projetos urbanísticos e de instalações</t>
        </is>
      </c>
      <c r="B11" s="74" t="inlineStr">
        <is>
          <t>1</t>
        </is>
      </c>
      <c r="C11" s="75" t="inlineStr">
        <is>
          <t>verba</t>
        </is>
      </c>
      <c r="D11" s="76" t="n">
        <v>50000</v>
      </c>
      <c r="E11" s="77">
        <f>D11*1</f>
        <v/>
      </c>
    </row>
    <row r="12">
      <c r="A12" s="34" t="inlineStr">
        <is>
          <t>Licenças, cartório, INCRA, aprovações</t>
        </is>
      </c>
      <c r="B12" s="78" t="inlineStr">
        <is>
          <t>1</t>
        </is>
      </c>
      <c r="C12" s="10" t="inlineStr">
        <is>
          <t>verba</t>
        </is>
      </c>
      <c r="D12" s="76" t="n">
        <v>100000</v>
      </c>
      <c r="E12" s="79">
        <f>D12*1</f>
        <v/>
      </c>
    </row>
    <row r="13">
      <c r="A13" s="3" t="inlineStr">
        <is>
          <t>TOTAL GERAL DE INFRAESTRUTURA</t>
        </is>
      </c>
      <c r="B13" s="80" t="n"/>
      <c r="E13" s="81">
        <f>SUM(E3:E12)</f>
        <v/>
      </c>
    </row>
    <row r="14">
      <c r="A14" s="4" t="inlineStr">
        <is>
          <t>Custo por lote (R$)</t>
        </is>
      </c>
      <c r="E14" s="28">
        <f>E13/304</f>
        <v/>
      </c>
    </row>
  </sheetData>
  <mergeCells count="3">
    <mergeCell ref="B13:D13"/>
    <mergeCell ref="A1:E1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2026-04-13T19:47:09Z</dcterms:created>
  <dcterms:modified xsi:type="dcterms:W3CDTF">2026-04-13T19:47:10Z</dcterms:modified>
</cp:coreProperties>
</file>