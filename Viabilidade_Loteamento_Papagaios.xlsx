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leonardoforx/Downloads/Papagaios/"/>
    </mc:Choice>
  </mc:AlternateContent>
  <xr:revisionPtr revIDLastSave="0" documentId="13_ncr:1_{63F10CB1-3E29-2C41-B9A3-1E929DA68794}" xr6:coauthVersionLast="47" xr6:coauthVersionMax="47" xr10:uidLastSave="{00000000-0000-0000-0000-000000000000}"/>
  <bookViews>
    <workbookView xWindow="1260" yWindow="600" windowWidth="37140" windowHeight="21000" activeTab="1" xr2:uid="{00000000-000D-0000-FFFF-FFFF00000000}"/>
  </bookViews>
  <sheets>
    <sheet name="Painel Executivo" sheetId="1" r:id="rId1"/>
    <sheet name="Premissas" sheetId="2" r:id="rId2"/>
    <sheet name="Infraestrutura" sheetId="3" r:id="rId3"/>
    <sheet name="Financeiro" sheetId="4" r:id="rId4"/>
    <sheet name="Cenári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D12" i="5" s="1"/>
  <c r="C6" i="5"/>
  <c r="C12" i="5" s="1"/>
  <c r="B6" i="5"/>
  <c r="B12" i="5" s="1"/>
  <c r="C4" i="5"/>
  <c r="B23" i="4"/>
  <c r="B22" i="4"/>
  <c r="D19" i="4"/>
  <c r="D13" i="4"/>
  <c r="B13" i="4"/>
  <c r="D11" i="4"/>
  <c r="D10" i="4"/>
  <c r="D9" i="4"/>
  <c r="D8" i="4"/>
  <c r="D7" i="4"/>
  <c r="B7" i="4"/>
  <c r="D4" i="4"/>
  <c r="C4" i="4"/>
  <c r="E13" i="3"/>
  <c r="E12" i="3"/>
  <c r="E11" i="3"/>
  <c r="E10" i="3"/>
  <c r="B9" i="3"/>
  <c r="E9" i="3" s="1"/>
  <c r="E8" i="3"/>
  <c r="B8" i="3"/>
  <c r="B7" i="3"/>
  <c r="E7" i="3" s="1"/>
  <c r="B6" i="3"/>
  <c r="E6" i="3" s="1"/>
  <c r="B5" i="3"/>
  <c r="E5" i="3" s="1"/>
  <c r="B4" i="3"/>
  <c r="E4" i="3" s="1"/>
  <c r="B39" i="2"/>
  <c r="B37" i="2"/>
  <c r="B24" i="2"/>
  <c r="B4" i="4" s="1"/>
  <c r="B23" i="2"/>
  <c r="B20" i="2"/>
  <c r="B18" i="1" s="1"/>
  <c r="B13" i="2"/>
  <c r="B14" i="2" s="1"/>
  <c r="B16" i="2" s="1"/>
  <c r="B12" i="2"/>
  <c r="B5" i="2"/>
  <c r="B14" i="1"/>
  <c r="B4" i="1"/>
  <c r="A2" i="1"/>
  <c r="B9" i="4" l="1"/>
  <c r="B10" i="4"/>
  <c r="C10" i="4" s="1"/>
  <c r="B7" i="5"/>
  <c r="C7" i="4"/>
  <c r="C13" i="4"/>
  <c r="C9" i="4"/>
  <c r="E14" i="3"/>
  <c r="D7" i="5"/>
  <c r="B11" i="4"/>
  <c r="C11" i="4" s="1"/>
  <c r="B25" i="2"/>
  <c r="B5" i="1" s="1"/>
  <c r="B8" i="4"/>
  <c r="C8" i="4" s="1"/>
  <c r="C7" i="5"/>
  <c r="D20" i="4"/>
  <c r="B26" i="2"/>
  <c r="B6" i="4" l="1"/>
  <c r="E15" i="3"/>
  <c r="B17" i="1" s="1"/>
  <c r="B16" i="1"/>
  <c r="B12" i="4" l="1"/>
  <c r="C6" i="4"/>
  <c r="B14" i="4" l="1"/>
  <c r="B6" i="1"/>
  <c r="C12" i="4"/>
  <c r="B16" i="4"/>
  <c r="B8" i="1" l="1"/>
  <c r="B19" i="4"/>
  <c r="B20" i="4"/>
  <c r="C16" i="4"/>
  <c r="B9" i="1" s="1"/>
  <c r="B7" i="1"/>
  <c r="C14" i="4"/>
  <c r="B17" i="4"/>
  <c r="C17" i="4" l="1"/>
  <c r="B11" i="1" s="1"/>
  <c r="B10" i="1"/>
  <c r="B13" i="1"/>
  <c r="C20" i="4"/>
  <c r="B12" i="1"/>
  <c r="C19" i="4"/>
  <c r="D8" i="5"/>
  <c r="D9" i="5"/>
  <c r="D10" i="5"/>
  <c r="D11" i="5"/>
  <c r="C10" i="5"/>
  <c r="C11" i="5"/>
  <c r="C9" i="5"/>
  <c r="C8" i="5"/>
  <c r="B8" i="5"/>
  <c r="B9" i="5"/>
  <c r="B10" i="5"/>
  <c r="B11" i="5"/>
</calcChain>
</file>

<file path=xl/sharedStrings.xml><?xml version="1.0" encoding="utf-8"?>
<sst xmlns="http://schemas.openxmlformats.org/spreadsheetml/2006/main" count="242" uniqueCount="178">
  <si>
    <t>ESTUDO DE VIABILIDADE — LOTEAMENTO PAPAGAIOS/MG</t>
  </si>
  <si>
    <t>INDICADOR</t>
  </si>
  <si>
    <t>VALOR</t>
  </si>
  <si>
    <t>REFERÊNCIA</t>
  </si>
  <si>
    <t>STATUS</t>
  </si>
  <si>
    <t>VGV Total</t>
  </si>
  <si>
    <t>—</t>
  </si>
  <si>
    <t>✅</t>
  </si>
  <si>
    <t>VGV Empreendedor (65%)</t>
  </si>
  <si>
    <t>Total Custos Operacionais</t>
  </si>
  <si>
    <t>&lt; 70% VGV</t>
  </si>
  <si>
    <t>Total Custos (com impostos)</t>
  </si>
  <si>
    <t>Lucro Bruto</t>
  </si>
  <si>
    <t>&gt; 0</t>
  </si>
  <si>
    <t>Margem Bruta (%)</t>
  </si>
  <si>
    <t>&gt; 20%</t>
  </si>
  <si>
    <t>Lucro Líquido</t>
  </si>
  <si>
    <t>Margem Líquida (%)</t>
  </si>
  <si>
    <t>&gt; 15%</t>
  </si>
  <si>
    <t>Net Empreendedor (pós-imp. est.)</t>
  </si>
  <si>
    <t>Net Terrenista (35%)</t>
  </si>
  <si>
    <t>Capital próprio</t>
  </si>
  <si>
    <t>Payback capital próprio</t>
  </si>
  <si>
    <t>~8 meses pós-lançamento</t>
  </si>
  <si>
    <t>&lt; 48 meses</t>
  </si>
  <si>
    <t>Infra total</t>
  </si>
  <si>
    <t>Custo infra por lote</t>
  </si>
  <si>
    <t>% Terrenista</t>
  </si>
  <si>
    <t>&lt; 40%</t>
  </si>
  <si>
    <t>⚠  PONTOS DE ATENÇÃO</t>
  </si>
  <si>
    <t xml:space="preserve">  • R$ 4,43M da infraestrutura financiados pelas vendas → exige lançamento forte</t>
  </si>
  <si>
    <t xml:space="preserve">  • Velocidade de vendas não testada (mercado sem loteamento há +1 ano) → fazer pré-cadastro</t>
  </si>
  <si>
    <t xml:space="preserve">  • Impostos precisam de validação com contador especializado em loteamento</t>
  </si>
  <si>
    <t xml:space="preserve">  • Contrato de parceria ainda não assinado → formalizar antes de qualquer custo</t>
  </si>
  <si>
    <t>✅  RECOMENDAÇÃO: GO — EMPREENDIMENTO VIÁVEL PARA AVANÇAR</t>
  </si>
  <si>
    <t>PREMISSAS DO EMPREENDIMENTO — edite aqui e todas as abas recalculam</t>
  </si>
  <si>
    <t>🟡 Amarelo = entrada editável   |   🔵 Azul claro = calculado automaticamente</t>
  </si>
  <si>
    <t>A — DADOS DO TERRENO</t>
  </si>
  <si>
    <t>Área bruta total</t>
  </si>
  <si>
    <t>hectares</t>
  </si>
  <si>
    <t>Informado pelo proprietário</t>
  </si>
  <si>
    <t>Área bruta total (m²)</t>
  </si>
  <si>
    <t>m²</t>
  </si>
  <si>
    <t>Calculado</t>
  </si>
  <si>
    <t>Localização</t>
  </si>
  <si>
    <t>Papagaios/MG</t>
  </si>
  <si>
    <t>Tipo de loteamento</t>
  </si>
  <si>
    <t>Urbano — Popular 300m²</t>
  </si>
  <si>
    <t>B — PARÂMETROS URBANÍSTICOS (Lei 6.766/79 + Prefeitura Papagaios)</t>
  </si>
  <si>
    <t>Deduções — Vias públicas (%)</t>
  </si>
  <si>
    <t>%</t>
  </si>
  <si>
    <t>Confirmado pela Prefeitura</t>
  </si>
  <si>
    <t>Deduções — Áreas verdes (%)</t>
  </si>
  <si>
    <t>Mínimo legal</t>
  </si>
  <si>
    <t>Deduções — Área institucional (%)</t>
  </si>
  <si>
    <t>Total de deduções (%)</t>
  </si>
  <si>
    <t>Área líquida (%)</t>
  </si>
  <si>
    <t>Área líquida (m²)</t>
  </si>
  <si>
    <t>Tamanho do lote (m²)</t>
  </si>
  <si>
    <t>Mínimo definido</t>
  </si>
  <si>
    <t>Lotes pela área (referência)</t>
  </si>
  <si>
    <t>un.</t>
  </si>
  <si>
    <t>Calculado — somente referência</t>
  </si>
  <si>
    <t>Lotes aprovados (ajustado)</t>
  </si>
  <si>
    <t>⚠ Ajustado pelo projeto urbanístico — use este valor</t>
  </si>
  <si>
    <t>C — ESTRUTURA DA PARCERIA</t>
  </si>
  <si>
    <t>% Empreendedor</t>
  </si>
  <si>
    <t>Base: lucro líquido antes dos impostos</t>
  </si>
  <si>
    <t>D — COMERCIALIZAÇÃO</t>
  </si>
  <si>
    <t>Preço de venda por lote (R$)</t>
  </si>
  <si>
    <t>R$</t>
  </si>
  <si>
    <t>Referência: último loteamento vendeu a R$75.000</t>
  </si>
  <si>
    <t>Preço por m² (R$/m²)</t>
  </si>
  <si>
    <t>R$/m²</t>
  </si>
  <si>
    <t>VGV Total (R$)</t>
  </si>
  <si>
    <t>VGV Empreendedor (R$)</t>
  </si>
  <si>
    <t>VGV Terrenista (R$)</t>
  </si>
  <si>
    <t>E — TAXAS E PERCENTUAIS</t>
  </si>
  <si>
    <t>Corretagem (%)</t>
  </si>
  <si>
    <t>% VGV</t>
  </si>
  <si>
    <t>Mercado: 5-8%</t>
  </si>
  <si>
    <t>Marketing e lançamento (%)</t>
  </si>
  <si>
    <t>Referência: 2-3%</t>
  </si>
  <si>
    <t>Administração (%)</t>
  </si>
  <si>
    <t>Referência: 3-5%</t>
  </si>
  <si>
    <t>Custo financeiro (%)</t>
  </si>
  <si>
    <t>Capital de giro</t>
  </si>
  <si>
    <t>Contingência (%)</t>
  </si>
  <si>
    <t>Imprevistos 3-5%</t>
  </si>
  <si>
    <t>Impostos — Lucro Presumido (%)</t>
  </si>
  <si>
    <t>PIS+COFINS+IRPJ+CSLL — validar com contador</t>
  </si>
  <si>
    <t>F — CAPITAL E FINANCIAMENTO</t>
  </si>
  <si>
    <t>Capital próprio disponível (R$)</t>
  </si>
  <si>
    <t>Saldo financiado pelas vendas</t>
  </si>
  <si>
    <t>% lotes à vista / banco</t>
  </si>
  <si>
    <t>70% recebido na venda</t>
  </si>
  <si>
    <t>% lotes financiados (empr.)</t>
  </si>
  <si>
    <t>Prazo financiamento (meses)</t>
  </si>
  <si>
    <t>meses</t>
  </si>
  <si>
    <t>Máx. 60 meses</t>
  </si>
  <si>
    <t>Parcela por lote (R$/mês)</t>
  </si>
  <si>
    <t>R$/lote/mês</t>
  </si>
  <si>
    <t>⚠  Todas as células amarelas são editáveis. As demais são calculadas automaticamente e não devem ser alteradas diretamente.</t>
  </si>
  <si>
    <t>ORÇAMENTO DE INFRAESTRUTURA — quantities linked to Premissas</t>
  </si>
  <si>
    <t>🟡 Custo unitário (col D) = editável   |   Quantidade (col B) = vínculo com Premissas   |   Total (col E) = calculado</t>
  </si>
  <si>
    <t>ITEM</t>
  </si>
  <si>
    <t>QUANTIDADE</t>
  </si>
  <si>
    <t>UNIDADE</t>
  </si>
  <si>
    <t>CUSTO UNIT. (R$)</t>
  </si>
  <si>
    <t>TOTAL (R$)</t>
  </si>
  <si>
    <t>OBSERVAÇÃO</t>
  </si>
  <si>
    <t>Terraplanagem e regularização</t>
  </si>
  <si>
    <t>R$4/m² — leve declividade</t>
  </si>
  <si>
    <t>Pavimentação completa (ruas + calçadas + meio-fio)</t>
  </si>
  <si>
    <t>R$60/m² — confirmado pelo usuário</t>
  </si>
  <si>
    <t>Drenagem pluvial (galerias, bocas-de-lobo)</t>
  </si>
  <si>
    <t>R$20/m²</t>
  </si>
  <si>
    <t>Rede de abastecimento de água (COPASA)</t>
  </si>
  <si>
    <t>lotes</t>
  </si>
  <si>
    <t>R$1.151/lote — ligação à rede</t>
  </si>
  <si>
    <t>Rede de esgoto (ligação 50m + rede interna)</t>
  </si>
  <si>
    <t>Ponto 50m da área mais baixa</t>
  </si>
  <si>
    <t>Energia elétrica — CEMIG (rede + transformadores)</t>
  </si>
  <si>
    <t>R$1.711/lote</t>
  </si>
  <si>
    <t>Iluminação pública</t>
  </si>
  <si>
    <t>pontos</t>
  </si>
  <si>
    <t>140 pontos — R$2.500/ponto</t>
  </si>
  <si>
    <t>Sinalização, paisagismo e acabamentos</t>
  </si>
  <si>
    <t>verba</t>
  </si>
  <si>
    <t>Verba global</t>
  </si>
  <si>
    <t>Projetos urbanísticos e de instalações</t>
  </si>
  <si>
    <t>Orçamento informado</t>
  </si>
  <si>
    <t>Licenças, cartório, INCRA, aprovações</t>
  </si>
  <si>
    <t>Estimativa</t>
  </si>
  <si>
    <t>TOTAL GERAL DE INFRAESTRUTURA</t>
  </si>
  <si>
    <t>Custo de infraestrutura por lote (R$)</t>
  </si>
  <si>
    <t>ANÁLISE FINANCEIRA COMPLETA — 100% fórmulas vinculadas às Premissas</t>
  </si>
  <si>
    <t>VALOR (R$)</t>
  </si>
  <si>
    <t>% DO VGV</t>
  </si>
  <si>
    <t>RECEITA</t>
  </si>
  <si>
    <t>VGV Total  (lotes × preço)</t>
  </si>
  <si>
    <t>CUSTOS OPERACIONAIS</t>
  </si>
  <si>
    <t>Infraestrutura total</t>
  </si>
  <si>
    <t>Vínculo com aba Infraestrutura</t>
  </si>
  <si>
    <t>Corretagem</t>
  </si>
  <si>
    <t>Marketing e lançamento</t>
  </si>
  <si>
    <t>Administração</t>
  </si>
  <si>
    <t>Custo financeiro / capital de giro</t>
  </si>
  <si>
    <t>Contingência</t>
  </si>
  <si>
    <t>TOTAL CUSTOS OPERACIONAIS</t>
  </si>
  <si>
    <t>Impostos estimados — Lucro Presumido</t>
  </si>
  <si>
    <t>TOTAL CUSTOS (com impostos)</t>
  </si>
  <si>
    <t>RESULTADOS</t>
  </si>
  <si>
    <t>Lucro Bruto (antes impostos — base da divisão)</t>
  </si>
  <si>
    <t>Margem Bruta</t>
  </si>
  <si>
    <t>Lucro Líquido (após impostos)</t>
  </si>
  <si>
    <t>Margem Líquida</t>
  </si>
  <si>
    <t>DISTRIBUIÇÃO (base = Lucro Bruto antes dos impostos)</t>
  </si>
  <si>
    <t>Net Empreendedor  (65% lucro bruto − impostos do empreendedor)</t>
  </si>
  <si>
    <t>Net Terrenista  (35% do lucro bruto)</t>
  </si>
  <si>
    <t>PAYBACK DO CAPITAL PRÓPRIO</t>
  </si>
  <si>
    <t>Capital próprio disponível</t>
  </si>
  <si>
    <t>Vínculo com Premissas!B35</t>
  </si>
  <si>
    <t>Receita média mensal esperada (12 lotes/mês)</t>
  </si>
  <si>
    <t>12 lotes/mês × preço</t>
  </si>
  <si>
    <t>Payback estimado do capital próprio (meses)</t>
  </si>
  <si>
    <t>~8 meses</t>
  </si>
  <si>
    <t>ANÁLISE DE CENÁRIOS — Preço e Velocidade de Vendas</t>
  </si>
  <si>
    <t>Linha 3 (preço) é editável nos cenários pessimista e otimista. Moderado víncula com Premissas automaticamente.</t>
  </si>
  <si>
    <t>PESSIMISTA</t>
  </si>
  <si>
    <t>MODERADO ★ BASE</t>
  </si>
  <si>
    <t>OTIMISTA</t>
  </si>
  <si>
    <t>Velocidade de vendas (lotes/mês)</t>
  </si>
  <si>
    <t>Número de lotes</t>
  </si>
  <si>
    <t>Custos operacionais estimados (R$)</t>
  </si>
  <si>
    <t>Lucro Bruto (R$)</t>
  </si>
  <si>
    <t>Net Empreendedor 65% (R$)</t>
  </si>
  <si>
    <t>Meses para vender tudo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</si>
</sst>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R\$\ #,##0"/>
    <numFmt numFmtId="166" formatCode="\R\$\ #,##0.00"/>
    <numFmt numFmtId="167" formatCode="0.0\ &quot;meses&quot;"/>
  </numFmts>
  <fonts count="1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i/>
      <sz val="9"/>
      <color rgb="FF7D6608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i/>
      <sz val="10"/>
      <color rgb="FF595959"/>
      <name val="Calibri"/>
      <family val="2"/>
    </font>
    <font>
      <sz val="10"/>
      <color rgb="FF595959"/>
      <name val="Calibri"/>
      <family val="2"/>
    </font>
    <font>
      <b/>
      <sz val="11"/>
      <color rgb="FF1A5276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4"/>
      <color rgb="FFFFFFFF"/>
      <name val="Calibri"/>
      <family val="2"/>
    </font>
    <font>
      <i/>
      <sz val="10"/>
      <color rgb="FFFFFFFF"/>
      <name val="Calibri"/>
      <family val="2"/>
    </font>
    <font>
      <b/>
      <sz val="10"/>
      <color rgb="FF7D6608"/>
      <name val="Calibri"/>
      <family val="2"/>
    </font>
    <font>
      <b/>
      <sz val="12"/>
      <color rgb="FF1A5276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1A5276"/>
      </patternFill>
    </fill>
    <fill>
      <patternFill patternType="solid">
        <fgColor rgb="FFD5E8D4"/>
      </patternFill>
    </fill>
    <fill>
      <patternFill patternType="solid">
        <fgColor rgb="FFC0392B"/>
      </patternFill>
    </fill>
    <fill>
      <patternFill patternType="solid">
        <fgColor rgb="FF117A65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EBF5FB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165" fontId="5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3" fontId="4" fillId="6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166" fontId="4" fillId="6" borderId="1" xfId="0" applyNumberFormat="1" applyFont="1" applyFill="1" applyBorder="1" applyAlignment="1">
      <alignment horizontal="right" vertical="center"/>
    </xf>
    <xf numFmtId="165" fontId="4" fillId="6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165" fontId="5" fillId="8" borderId="2" xfId="0" applyNumberFormat="1" applyFont="1" applyFill="1" applyBorder="1" applyAlignment="1">
      <alignment horizontal="righ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right" vertical="center"/>
    </xf>
    <xf numFmtId="164" fontId="4" fillId="8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165" fontId="8" fillId="6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165" fontId="10" fillId="3" borderId="1" xfId="0" applyNumberFormat="1" applyFont="1" applyFill="1" applyBorder="1" applyAlignment="1">
      <alignment horizontal="right" vertical="center"/>
    </xf>
    <xf numFmtId="165" fontId="9" fillId="6" borderId="1" xfId="0" applyNumberFormat="1" applyFont="1" applyFill="1" applyBorder="1" applyAlignment="1">
      <alignment horizontal="right" vertical="center"/>
    </xf>
    <xf numFmtId="3" fontId="9" fillId="5" borderId="1" xfId="0" applyNumberFormat="1" applyFont="1" applyFill="1" applyBorder="1" applyAlignment="1">
      <alignment horizontal="right" vertical="center"/>
    </xf>
    <xf numFmtId="3" fontId="9" fillId="4" borderId="1" xfId="0" applyNumberFormat="1" applyFont="1" applyFill="1" applyBorder="1" applyAlignment="1">
      <alignment horizontal="right" vertical="center"/>
    </xf>
    <xf numFmtId="165" fontId="10" fillId="12" borderId="1" xfId="0" applyNumberFormat="1" applyFont="1" applyFill="1" applyBorder="1" applyAlignment="1">
      <alignment horizontal="right" vertical="center"/>
    </xf>
    <xf numFmtId="165" fontId="10" fillId="8" borderId="1" xfId="0" applyNumberFormat="1" applyFont="1" applyFill="1" applyBorder="1" applyAlignment="1">
      <alignment horizontal="right" vertical="center"/>
    </xf>
    <xf numFmtId="165" fontId="10" fillId="13" borderId="1" xfId="0" applyNumberFormat="1" applyFont="1" applyFill="1" applyBorder="1" applyAlignment="1">
      <alignment horizontal="right" vertical="center"/>
    </xf>
    <xf numFmtId="165" fontId="9" fillId="4" borderId="1" xfId="0" applyNumberFormat="1" applyFont="1" applyFill="1" applyBorder="1" applyAlignment="1">
      <alignment horizontal="right" vertical="center"/>
    </xf>
    <xf numFmtId="164" fontId="10" fillId="12" borderId="1" xfId="0" applyNumberFormat="1" applyFont="1" applyFill="1" applyBorder="1" applyAlignment="1">
      <alignment horizontal="right" vertical="center"/>
    </xf>
    <xf numFmtId="164" fontId="10" fillId="8" borderId="1" xfId="0" applyNumberFormat="1" applyFont="1" applyFill="1" applyBorder="1" applyAlignment="1">
      <alignment horizontal="right" vertical="center"/>
    </xf>
    <xf numFmtId="164" fontId="10" fillId="13" borderId="1" xfId="0" applyNumberFormat="1" applyFont="1" applyFill="1" applyBorder="1" applyAlignment="1">
      <alignment horizontal="right" vertical="center"/>
    </xf>
    <xf numFmtId="167" fontId="9" fillId="4" borderId="1" xfId="0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0" fillId="7" borderId="0" xfId="0" applyFill="1"/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zoomScale="150" zoomScaleNormal="150" workbookViewId="0">
      <selection sqref="A1:D1"/>
    </sheetView>
  </sheetViews>
  <sheetFormatPr baseColWidth="10" defaultColWidth="8.83203125" defaultRowHeight="15" x14ac:dyDescent="0.2"/>
  <cols>
    <col min="1" max="1" width="40" customWidth="1"/>
    <col min="2" max="2" width="24" customWidth="1"/>
    <col min="3" max="3" width="20" customWidth="1"/>
    <col min="4" max="4" width="16" customWidth="1"/>
  </cols>
  <sheetData>
    <row r="1" spans="1:4" ht="32" customHeight="1" x14ac:dyDescent="0.2">
      <c r="A1" s="57" t="s">
        <v>0</v>
      </c>
      <c r="B1" s="58"/>
      <c r="C1" s="58"/>
      <c r="D1" s="58"/>
    </row>
    <row r="2" spans="1:4" ht="18" customHeight="1" x14ac:dyDescent="0.2">
      <c r="A2" s="62" t="str">
        <f>Premissas!$B$7&amp;"  |  16 ha  |  "&amp;TEXT(Premissas!$B$17,"#,##0")&amp;" Lotes  |  "&amp;TEXT(Premissas!$B$22,"R$ #,##0")&amp;"/lote  |  Abril/2026"</f>
        <v>Urbano — Popular 300m²  |  16 ha  |  300,0 Lotes  |  R$ 80000,0/lote  |  Abril/2026</v>
      </c>
      <c r="B2" s="58"/>
      <c r="C2" s="58"/>
      <c r="D2" s="58"/>
    </row>
    <row r="3" spans="1:4" ht="16" customHeight="1" x14ac:dyDescent="0.2">
      <c r="A3" s="1" t="s">
        <v>1</v>
      </c>
      <c r="B3" s="1" t="s">
        <v>2</v>
      </c>
      <c r="C3" s="1" t="s">
        <v>3</v>
      </c>
      <c r="D3" s="1" t="s">
        <v>4</v>
      </c>
    </row>
    <row r="4" spans="1:4" ht="16" customHeight="1" x14ac:dyDescent="0.2">
      <c r="A4" s="2" t="s">
        <v>5</v>
      </c>
      <c r="B4" s="3">
        <f>Premissas!$B$24</f>
        <v>24000000</v>
      </c>
      <c r="C4" s="4" t="s">
        <v>6</v>
      </c>
      <c r="D4" s="5" t="s">
        <v>7</v>
      </c>
    </row>
    <row r="5" spans="1:4" ht="16" customHeight="1" x14ac:dyDescent="0.2">
      <c r="A5" s="6" t="s">
        <v>8</v>
      </c>
      <c r="B5" s="7">
        <f>Premissas!$B$25</f>
        <v>15600000</v>
      </c>
      <c r="C5" s="8" t="s">
        <v>6</v>
      </c>
      <c r="D5" s="5" t="s">
        <v>7</v>
      </c>
    </row>
    <row r="6" spans="1:4" ht="16" customHeight="1" x14ac:dyDescent="0.2">
      <c r="A6" s="2" t="s">
        <v>9</v>
      </c>
      <c r="B6" s="3">
        <f>Financeiro!$B$12</f>
        <v>10013200</v>
      </c>
      <c r="C6" s="4" t="s">
        <v>10</v>
      </c>
      <c r="D6" s="5" t="s">
        <v>7</v>
      </c>
    </row>
    <row r="7" spans="1:4" ht="16" customHeight="1" x14ac:dyDescent="0.2">
      <c r="A7" s="6" t="s">
        <v>11</v>
      </c>
      <c r="B7" s="7">
        <f>Financeiro!$B$14</f>
        <v>11573200</v>
      </c>
      <c r="C7" s="8" t="s">
        <v>6</v>
      </c>
      <c r="D7" s="5" t="s">
        <v>7</v>
      </c>
    </row>
    <row r="8" spans="1:4" ht="16" customHeight="1" x14ac:dyDescent="0.2">
      <c r="A8" s="2" t="s">
        <v>12</v>
      </c>
      <c r="B8" s="3">
        <f>Financeiro!$B$16</f>
        <v>13986800</v>
      </c>
      <c r="C8" s="4" t="s">
        <v>13</v>
      </c>
      <c r="D8" s="5" t="s">
        <v>7</v>
      </c>
    </row>
    <row r="9" spans="1:4" ht="16" customHeight="1" x14ac:dyDescent="0.2">
      <c r="A9" s="6" t="s">
        <v>14</v>
      </c>
      <c r="B9" s="9">
        <f>Financeiro!$C$16</f>
        <v>0.58278333333333332</v>
      </c>
      <c r="C9" s="8" t="s">
        <v>15</v>
      </c>
      <c r="D9" s="5" t="s">
        <v>7</v>
      </c>
    </row>
    <row r="10" spans="1:4" ht="16" customHeight="1" x14ac:dyDescent="0.2">
      <c r="A10" s="2" t="s">
        <v>16</v>
      </c>
      <c r="B10" s="3">
        <f>Financeiro!$B$17</f>
        <v>12426800</v>
      </c>
      <c r="C10" s="4" t="s">
        <v>13</v>
      </c>
      <c r="D10" s="5" t="s">
        <v>7</v>
      </c>
    </row>
    <row r="11" spans="1:4" ht="16" customHeight="1" x14ac:dyDescent="0.2">
      <c r="A11" s="6" t="s">
        <v>17</v>
      </c>
      <c r="B11" s="9">
        <f>Financeiro!$C$17</f>
        <v>0.51778333333333337</v>
      </c>
      <c r="C11" s="8" t="s">
        <v>18</v>
      </c>
      <c r="D11" s="5" t="s">
        <v>7</v>
      </c>
    </row>
    <row r="12" spans="1:4" ht="16" customHeight="1" x14ac:dyDescent="0.2">
      <c r="A12" s="2" t="s">
        <v>19</v>
      </c>
      <c r="B12" s="3">
        <f>Financeiro!$B$19</f>
        <v>8077420</v>
      </c>
      <c r="C12" s="4" t="s">
        <v>6</v>
      </c>
      <c r="D12" s="5" t="s">
        <v>7</v>
      </c>
    </row>
    <row r="13" spans="1:4" ht="16" customHeight="1" x14ac:dyDescent="0.2">
      <c r="A13" s="6" t="s">
        <v>20</v>
      </c>
      <c r="B13" s="7">
        <f>Financeiro!$B$20</f>
        <v>4895380</v>
      </c>
      <c r="C13" s="8" t="s">
        <v>6</v>
      </c>
      <c r="D13" s="5" t="s">
        <v>7</v>
      </c>
    </row>
    <row r="14" spans="1:4" ht="16" customHeight="1" x14ac:dyDescent="0.2">
      <c r="A14" s="2" t="s">
        <v>21</v>
      </c>
      <c r="B14" s="3">
        <f>Premissas!$B$35</f>
        <v>1000000</v>
      </c>
      <c r="C14" s="4" t="s">
        <v>6</v>
      </c>
      <c r="D14" s="5" t="s">
        <v>7</v>
      </c>
    </row>
    <row r="15" spans="1:4" ht="16" customHeight="1" x14ac:dyDescent="0.2">
      <c r="A15" s="6" t="s">
        <v>22</v>
      </c>
      <c r="B15" s="10" t="s">
        <v>23</v>
      </c>
      <c r="C15" s="8" t="s">
        <v>24</v>
      </c>
      <c r="D15" s="5" t="s">
        <v>7</v>
      </c>
    </row>
    <row r="16" spans="1:4" ht="16" customHeight="1" x14ac:dyDescent="0.2">
      <c r="A16" s="2" t="s">
        <v>25</v>
      </c>
      <c r="B16" s="3">
        <f>Infraestrutura!$E$14</f>
        <v>5933200</v>
      </c>
      <c r="C16" s="4" t="s">
        <v>6</v>
      </c>
      <c r="D16" s="5" t="s">
        <v>7</v>
      </c>
    </row>
    <row r="17" spans="1:4" ht="16" customHeight="1" x14ac:dyDescent="0.2">
      <c r="A17" s="6" t="s">
        <v>26</v>
      </c>
      <c r="B17" s="7">
        <f>Infraestrutura!$E$15</f>
        <v>19777.333333333332</v>
      </c>
      <c r="C17" s="8" t="s">
        <v>6</v>
      </c>
      <c r="D17" s="5" t="s">
        <v>7</v>
      </c>
    </row>
    <row r="18" spans="1:4" ht="16" customHeight="1" x14ac:dyDescent="0.2">
      <c r="A18" s="2" t="s">
        <v>27</v>
      </c>
      <c r="B18" s="11">
        <f>Premissas!$B$20</f>
        <v>0.35</v>
      </c>
      <c r="C18" s="4" t="s">
        <v>28</v>
      </c>
      <c r="D18" s="5" t="s">
        <v>7</v>
      </c>
    </row>
    <row r="20" spans="1:4" ht="18" customHeight="1" x14ac:dyDescent="0.2">
      <c r="A20" s="60" t="s">
        <v>29</v>
      </c>
      <c r="B20" s="58"/>
      <c r="C20" s="58"/>
      <c r="D20" s="58"/>
    </row>
    <row r="21" spans="1:4" ht="18" customHeight="1" x14ac:dyDescent="0.2">
      <c r="A21" s="59" t="s">
        <v>30</v>
      </c>
      <c r="B21" s="58"/>
      <c r="C21" s="58"/>
      <c r="D21" s="58"/>
    </row>
    <row r="22" spans="1:4" ht="18" customHeight="1" x14ac:dyDescent="0.2">
      <c r="A22" s="59" t="s">
        <v>31</v>
      </c>
      <c r="B22" s="58"/>
      <c r="C22" s="58"/>
      <c r="D22" s="58"/>
    </row>
    <row r="23" spans="1:4" ht="18" customHeight="1" x14ac:dyDescent="0.2">
      <c r="A23" s="59" t="s">
        <v>32</v>
      </c>
      <c r="B23" s="58"/>
      <c r="C23" s="58"/>
      <c r="D23" s="58"/>
    </row>
    <row r="24" spans="1:4" ht="18" customHeight="1" x14ac:dyDescent="0.2">
      <c r="A24" s="59" t="s">
        <v>33</v>
      </c>
      <c r="B24" s="58"/>
      <c r="C24" s="58"/>
      <c r="D24" s="58"/>
    </row>
    <row r="26" spans="1:4" ht="24" customHeight="1" x14ac:dyDescent="0.2">
      <c r="A26" s="61" t="s">
        <v>34</v>
      </c>
      <c r="B26" s="58"/>
      <c r="C26" s="58"/>
      <c r="D26" s="58"/>
    </row>
  </sheetData>
  <mergeCells count="8">
    <mergeCell ref="A26:D26"/>
    <mergeCell ref="A24:D24"/>
    <mergeCell ref="A2:D2"/>
    <mergeCell ref="A1:D1"/>
    <mergeCell ref="A23:D23"/>
    <mergeCell ref="A22:D22"/>
    <mergeCell ref="A20:D20"/>
    <mergeCell ref="A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tabSelected="1" zoomScale="150" zoomScaleNormal="150" workbookViewId="0">
      <selection activeCell="B10" sqref="B10"/>
    </sheetView>
  </sheetViews>
  <sheetFormatPr baseColWidth="10" defaultColWidth="8.83203125" defaultRowHeight="15" x14ac:dyDescent="0.2"/>
  <cols>
    <col min="1" max="1" width="31" customWidth="1"/>
    <col min="2" max="2" width="24" customWidth="1"/>
    <col min="3" max="3" width="14.83203125" style="70" customWidth="1"/>
    <col min="4" max="4" width="38.6640625" customWidth="1"/>
  </cols>
  <sheetData>
    <row r="1" spans="1:4" ht="28" customHeight="1" x14ac:dyDescent="0.2">
      <c r="A1" s="63" t="s">
        <v>35</v>
      </c>
      <c r="B1" s="58"/>
      <c r="C1" s="58"/>
      <c r="D1" s="58"/>
    </row>
    <row r="2" spans="1:4" ht="16" customHeight="1" x14ac:dyDescent="0.2">
      <c r="A2" s="66" t="s">
        <v>36</v>
      </c>
      <c r="B2" s="58"/>
      <c r="C2" s="58"/>
      <c r="D2" s="58"/>
    </row>
    <row r="3" spans="1:4" ht="18" customHeight="1" x14ac:dyDescent="0.2">
      <c r="A3" s="64" t="s">
        <v>37</v>
      </c>
      <c r="B3" s="58"/>
      <c r="C3" s="58"/>
      <c r="D3" s="58"/>
    </row>
    <row r="4" spans="1:4" ht="17" customHeight="1" x14ac:dyDescent="0.2">
      <c r="A4" s="12" t="s">
        <v>38</v>
      </c>
      <c r="B4" s="13">
        <v>16</v>
      </c>
      <c r="C4" s="68" t="s">
        <v>39</v>
      </c>
      <c r="D4" s="14" t="s">
        <v>40</v>
      </c>
    </row>
    <row r="5" spans="1:4" ht="17" customHeight="1" x14ac:dyDescent="0.2">
      <c r="A5" s="15" t="s">
        <v>41</v>
      </c>
      <c r="B5" s="16">
        <f>B4*10000</f>
        <v>160000</v>
      </c>
      <c r="C5" s="69" t="s">
        <v>42</v>
      </c>
      <c r="D5" s="17" t="s">
        <v>43</v>
      </c>
    </row>
    <row r="6" spans="1:4" ht="17" customHeight="1" x14ac:dyDescent="0.2">
      <c r="A6" s="12" t="s">
        <v>44</v>
      </c>
      <c r="B6" s="13" t="s">
        <v>45</v>
      </c>
      <c r="C6" s="68"/>
      <c r="D6" s="14"/>
    </row>
    <row r="7" spans="1:4" ht="17" customHeight="1" x14ac:dyDescent="0.2">
      <c r="A7" s="15" t="s">
        <v>46</v>
      </c>
      <c r="B7" s="13" t="s">
        <v>47</v>
      </c>
      <c r="C7" s="69"/>
      <c r="D7" s="17"/>
    </row>
    <row r="8" spans="1:4" ht="18" customHeight="1" x14ac:dyDescent="0.2">
      <c r="A8" s="64" t="s">
        <v>48</v>
      </c>
      <c r="B8" s="58"/>
      <c r="C8" s="58"/>
      <c r="D8" s="58"/>
    </row>
    <row r="9" spans="1:4" ht="17" customHeight="1" x14ac:dyDescent="0.2">
      <c r="A9" s="15" t="s">
        <v>49</v>
      </c>
      <c r="B9" s="18">
        <v>0.25</v>
      </c>
      <c r="C9" s="69" t="s">
        <v>50</v>
      </c>
      <c r="D9" s="17" t="s">
        <v>51</v>
      </c>
    </row>
    <row r="10" spans="1:4" ht="17" customHeight="1" x14ac:dyDescent="0.2">
      <c r="A10" s="12" t="s">
        <v>52</v>
      </c>
      <c r="B10" s="18">
        <v>0.1</v>
      </c>
      <c r="C10" s="68" t="s">
        <v>50</v>
      </c>
      <c r="D10" s="14" t="s">
        <v>53</v>
      </c>
    </row>
    <row r="11" spans="1:4" ht="17" customHeight="1" x14ac:dyDescent="0.2">
      <c r="A11" s="15" t="s">
        <v>54</v>
      </c>
      <c r="B11" s="18">
        <v>0.08</v>
      </c>
      <c r="C11" s="69" t="s">
        <v>50</v>
      </c>
      <c r="D11" s="17" t="s">
        <v>51</v>
      </c>
    </row>
    <row r="12" spans="1:4" ht="17" customHeight="1" x14ac:dyDescent="0.2">
      <c r="A12" s="12" t="s">
        <v>55</v>
      </c>
      <c r="B12" s="19">
        <f>B9+B10+B11</f>
        <v>0.43</v>
      </c>
      <c r="C12" s="68" t="s">
        <v>50</v>
      </c>
      <c r="D12" s="14" t="s">
        <v>43</v>
      </c>
    </row>
    <row r="13" spans="1:4" ht="17" customHeight="1" x14ac:dyDescent="0.2">
      <c r="A13" s="15" t="s">
        <v>56</v>
      </c>
      <c r="B13" s="19">
        <f>1-B12</f>
        <v>0.57000000000000006</v>
      </c>
      <c r="C13" s="69" t="s">
        <v>50</v>
      </c>
      <c r="D13" s="17" t="s">
        <v>43</v>
      </c>
    </row>
    <row r="14" spans="1:4" ht="17" customHeight="1" x14ac:dyDescent="0.2">
      <c r="A14" s="12" t="s">
        <v>57</v>
      </c>
      <c r="B14" s="16">
        <f>B5*B13</f>
        <v>91200.000000000015</v>
      </c>
      <c r="C14" s="68" t="s">
        <v>42</v>
      </c>
      <c r="D14" s="14" t="s">
        <v>43</v>
      </c>
    </row>
    <row r="15" spans="1:4" ht="17" customHeight="1" x14ac:dyDescent="0.2">
      <c r="A15" s="15" t="s">
        <v>58</v>
      </c>
      <c r="B15" s="13">
        <v>300</v>
      </c>
      <c r="C15" s="69" t="s">
        <v>42</v>
      </c>
      <c r="D15" s="17" t="s">
        <v>59</v>
      </c>
    </row>
    <row r="16" spans="1:4" ht="17" customHeight="1" x14ac:dyDescent="0.2">
      <c r="A16" s="12" t="s">
        <v>60</v>
      </c>
      <c r="B16" s="16">
        <f>INT(B14/B15)</f>
        <v>304</v>
      </c>
      <c r="C16" s="68" t="s">
        <v>61</v>
      </c>
      <c r="D16" s="14" t="s">
        <v>62</v>
      </c>
    </row>
    <row r="17" spans="1:4" ht="17" customHeight="1" x14ac:dyDescent="0.2">
      <c r="A17" s="15" t="s">
        <v>63</v>
      </c>
      <c r="B17" s="13">
        <v>300</v>
      </c>
      <c r="C17" s="69" t="s">
        <v>61</v>
      </c>
      <c r="D17" s="17" t="s">
        <v>64</v>
      </c>
    </row>
    <row r="18" spans="1:4" ht="18" customHeight="1" x14ac:dyDescent="0.2">
      <c r="A18" s="64" t="s">
        <v>65</v>
      </c>
      <c r="B18" s="58"/>
      <c r="C18" s="58"/>
      <c r="D18" s="58"/>
    </row>
    <row r="19" spans="1:4" ht="17" customHeight="1" x14ac:dyDescent="0.2">
      <c r="A19" s="15" t="s">
        <v>66</v>
      </c>
      <c r="B19" s="18">
        <v>0.65</v>
      </c>
      <c r="C19" s="69"/>
      <c r="D19" s="17" t="s">
        <v>67</v>
      </c>
    </row>
    <row r="20" spans="1:4" ht="17" customHeight="1" x14ac:dyDescent="0.2">
      <c r="A20" s="12" t="s">
        <v>27</v>
      </c>
      <c r="B20" s="19">
        <f>1-B19</f>
        <v>0.35</v>
      </c>
      <c r="C20" s="68"/>
      <c r="D20" s="14" t="s">
        <v>43</v>
      </c>
    </row>
    <row r="21" spans="1:4" ht="18" customHeight="1" x14ac:dyDescent="0.2">
      <c r="A21" s="64" t="s">
        <v>68</v>
      </c>
      <c r="B21" s="58"/>
      <c r="C21" s="58"/>
      <c r="D21" s="58"/>
    </row>
    <row r="22" spans="1:4" ht="17" customHeight="1" x14ac:dyDescent="0.2">
      <c r="A22" s="12" t="s">
        <v>69</v>
      </c>
      <c r="B22" s="20">
        <v>80000</v>
      </c>
      <c r="C22" s="68" t="s">
        <v>70</v>
      </c>
      <c r="D22" s="14" t="s">
        <v>71</v>
      </c>
    </row>
    <row r="23" spans="1:4" ht="17" customHeight="1" x14ac:dyDescent="0.2">
      <c r="A23" s="15" t="s">
        <v>72</v>
      </c>
      <c r="B23" s="21">
        <f>B22/B15</f>
        <v>266.66666666666669</v>
      </c>
      <c r="C23" s="69" t="s">
        <v>73</v>
      </c>
      <c r="D23" s="17" t="s">
        <v>43</v>
      </c>
    </row>
    <row r="24" spans="1:4" ht="17" customHeight="1" x14ac:dyDescent="0.2">
      <c r="A24" s="12" t="s">
        <v>74</v>
      </c>
      <c r="B24" s="22">
        <f>B17*B22</f>
        <v>24000000</v>
      </c>
      <c r="C24" s="68" t="s">
        <v>70</v>
      </c>
      <c r="D24" s="14" t="s">
        <v>43</v>
      </c>
    </row>
    <row r="25" spans="1:4" ht="17" customHeight="1" x14ac:dyDescent="0.2">
      <c r="A25" s="15" t="s">
        <v>75</v>
      </c>
      <c r="B25" s="22">
        <f>B24*B19</f>
        <v>15600000</v>
      </c>
      <c r="C25" s="69" t="s">
        <v>70</v>
      </c>
      <c r="D25" s="17" t="s">
        <v>43</v>
      </c>
    </row>
    <row r="26" spans="1:4" ht="17" customHeight="1" x14ac:dyDescent="0.2">
      <c r="A26" s="12" t="s">
        <v>76</v>
      </c>
      <c r="B26" s="22">
        <f>B24*B20</f>
        <v>8400000</v>
      </c>
      <c r="C26" s="68" t="s">
        <v>70</v>
      </c>
      <c r="D26" s="14" t="s">
        <v>43</v>
      </c>
    </row>
    <row r="27" spans="1:4" ht="18" customHeight="1" x14ac:dyDescent="0.2">
      <c r="A27" s="64" t="s">
        <v>77</v>
      </c>
      <c r="B27" s="58"/>
      <c r="C27" s="58"/>
      <c r="D27" s="58"/>
    </row>
    <row r="28" spans="1:4" ht="17" customHeight="1" x14ac:dyDescent="0.2">
      <c r="A28" s="12" t="s">
        <v>78</v>
      </c>
      <c r="B28" s="18">
        <v>0.06</v>
      </c>
      <c r="C28" s="68" t="s">
        <v>79</v>
      </c>
      <c r="D28" s="14" t="s">
        <v>80</v>
      </c>
    </row>
    <row r="29" spans="1:4" ht="17" customHeight="1" x14ac:dyDescent="0.2">
      <c r="A29" s="15" t="s">
        <v>81</v>
      </c>
      <c r="B29" s="18">
        <v>0.02</v>
      </c>
      <c r="C29" s="69" t="s">
        <v>79</v>
      </c>
      <c r="D29" s="17" t="s">
        <v>82</v>
      </c>
    </row>
    <row r="30" spans="1:4" ht="17" customHeight="1" x14ac:dyDescent="0.2">
      <c r="A30" s="12" t="s">
        <v>83</v>
      </c>
      <c r="B30" s="18">
        <v>0.03</v>
      </c>
      <c r="C30" s="68" t="s">
        <v>79</v>
      </c>
      <c r="D30" s="14" t="s">
        <v>84</v>
      </c>
    </row>
    <row r="31" spans="1:4" ht="17" customHeight="1" x14ac:dyDescent="0.2">
      <c r="A31" s="15" t="s">
        <v>85</v>
      </c>
      <c r="B31" s="18">
        <v>0.03</v>
      </c>
      <c r="C31" s="69" t="s">
        <v>79</v>
      </c>
      <c r="D31" s="17" t="s">
        <v>86</v>
      </c>
    </row>
    <row r="32" spans="1:4" ht="17" customHeight="1" x14ac:dyDescent="0.2">
      <c r="A32" s="12" t="s">
        <v>87</v>
      </c>
      <c r="B32" s="18">
        <v>0.03</v>
      </c>
      <c r="C32" s="68" t="s">
        <v>79</v>
      </c>
      <c r="D32" s="14" t="s">
        <v>88</v>
      </c>
    </row>
    <row r="33" spans="1:4" ht="17" customHeight="1" x14ac:dyDescent="0.2">
      <c r="A33" s="15" t="s">
        <v>89</v>
      </c>
      <c r="B33" s="18">
        <v>6.5000000000000002E-2</v>
      </c>
      <c r="C33" s="69" t="s">
        <v>79</v>
      </c>
      <c r="D33" s="17" t="s">
        <v>90</v>
      </c>
    </row>
    <row r="34" spans="1:4" ht="18" customHeight="1" x14ac:dyDescent="0.2">
      <c r="A34" s="64" t="s">
        <v>91</v>
      </c>
      <c r="B34" s="58"/>
      <c r="C34" s="58"/>
      <c r="D34" s="58"/>
    </row>
    <row r="35" spans="1:4" ht="17" customHeight="1" x14ac:dyDescent="0.2">
      <c r="A35" s="15" t="s">
        <v>92</v>
      </c>
      <c r="B35" s="20">
        <v>1000000</v>
      </c>
      <c r="C35" s="69" t="s">
        <v>70</v>
      </c>
      <c r="D35" s="17" t="s">
        <v>93</v>
      </c>
    </row>
    <row r="36" spans="1:4" ht="17" customHeight="1" x14ac:dyDescent="0.2">
      <c r="A36" s="12" t="s">
        <v>94</v>
      </c>
      <c r="B36" s="18">
        <v>0.7</v>
      </c>
      <c r="C36" s="68"/>
      <c r="D36" s="14" t="s">
        <v>95</v>
      </c>
    </row>
    <row r="37" spans="1:4" ht="17" customHeight="1" x14ac:dyDescent="0.2">
      <c r="A37" s="15" t="s">
        <v>96</v>
      </c>
      <c r="B37" s="19">
        <f>1-B36</f>
        <v>0.30000000000000004</v>
      </c>
      <c r="C37" s="69"/>
      <c r="D37" s="17" t="s">
        <v>43</v>
      </c>
    </row>
    <row r="38" spans="1:4" ht="17" customHeight="1" x14ac:dyDescent="0.2">
      <c r="A38" s="12" t="s">
        <v>97</v>
      </c>
      <c r="B38" s="13">
        <v>60</v>
      </c>
      <c r="C38" s="68" t="s">
        <v>98</v>
      </c>
      <c r="D38" s="14" t="s">
        <v>99</v>
      </c>
    </row>
    <row r="39" spans="1:4" ht="17" customHeight="1" x14ac:dyDescent="0.2">
      <c r="A39" s="15" t="s">
        <v>100</v>
      </c>
      <c r="B39" s="21">
        <f>B22*B37/B38</f>
        <v>400.00000000000006</v>
      </c>
      <c r="C39" s="69" t="s">
        <v>101</v>
      </c>
      <c r="D39" s="17" t="s">
        <v>43</v>
      </c>
    </row>
    <row r="41" spans="1:4" ht="22" customHeight="1" x14ac:dyDescent="0.2">
      <c r="A41" s="65" t="s">
        <v>102</v>
      </c>
      <c r="B41" s="58"/>
      <c r="C41" s="58"/>
      <c r="D41" s="58"/>
    </row>
  </sheetData>
  <mergeCells count="9">
    <mergeCell ref="A41:D41"/>
    <mergeCell ref="A2:D2"/>
    <mergeCell ref="A1:D1"/>
    <mergeCell ref="A18:D18"/>
    <mergeCell ref="A27:D27"/>
    <mergeCell ref="A8:D8"/>
    <mergeCell ref="A34:D34"/>
    <mergeCell ref="A3:D3"/>
    <mergeCell ref="A21:D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zoomScale="150" zoomScaleNormal="150" workbookViewId="0">
      <selection activeCell="D7" sqref="D7"/>
    </sheetView>
  </sheetViews>
  <sheetFormatPr baseColWidth="10" defaultColWidth="8.83203125" defaultRowHeight="15" x14ac:dyDescent="0.2"/>
  <cols>
    <col min="1" max="1" width="46" customWidth="1"/>
    <col min="2" max="2" width="22" customWidth="1"/>
    <col min="3" max="3" width="12" customWidth="1"/>
    <col min="4" max="4" width="16" customWidth="1"/>
    <col min="5" max="5" width="18" customWidth="1"/>
    <col min="6" max="6" width="28" customWidth="1"/>
  </cols>
  <sheetData>
    <row r="1" spans="1:6" ht="26" customHeight="1" x14ac:dyDescent="0.2">
      <c r="A1" s="63" t="s">
        <v>103</v>
      </c>
      <c r="B1" s="58"/>
      <c r="C1" s="58"/>
      <c r="D1" s="58"/>
      <c r="E1" s="58"/>
      <c r="F1" s="58"/>
    </row>
    <row r="2" spans="1:6" ht="15" customHeight="1" x14ac:dyDescent="0.2">
      <c r="A2" s="66" t="s">
        <v>104</v>
      </c>
      <c r="B2" s="58"/>
      <c r="C2" s="58"/>
      <c r="D2" s="58"/>
      <c r="E2" s="58"/>
      <c r="F2" s="58"/>
    </row>
    <row r="3" spans="1:6" ht="16" customHeight="1" x14ac:dyDescent="0.2">
      <c r="A3" s="1" t="s">
        <v>105</v>
      </c>
      <c r="B3" s="1" t="s">
        <v>106</v>
      </c>
      <c r="C3" s="1" t="s">
        <v>107</v>
      </c>
      <c r="D3" s="1" t="s">
        <v>108</v>
      </c>
      <c r="E3" s="1" t="s">
        <v>109</v>
      </c>
      <c r="F3" s="1" t="s">
        <v>110</v>
      </c>
    </row>
    <row r="4" spans="1:6" ht="16" customHeight="1" x14ac:dyDescent="0.2">
      <c r="A4" s="12" t="s">
        <v>111</v>
      </c>
      <c r="B4" s="16">
        <f>Premissas!$B$5</f>
        <v>160000</v>
      </c>
      <c r="C4" s="23" t="s">
        <v>42</v>
      </c>
      <c r="D4" s="20">
        <v>4</v>
      </c>
      <c r="E4" s="24">
        <f t="shared" ref="E4:E13" si="0">B4*D4</f>
        <v>640000</v>
      </c>
      <c r="F4" s="14" t="s">
        <v>112</v>
      </c>
    </row>
    <row r="5" spans="1:6" ht="16" customHeight="1" x14ac:dyDescent="0.2">
      <c r="A5" s="15" t="s">
        <v>113</v>
      </c>
      <c r="B5" s="16">
        <f>Premissas!$B$5*Premissas!$B$9</f>
        <v>40000</v>
      </c>
      <c r="C5" s="8" t="s">
        <v>42</v>
      </c>
      <c r="D5" s="20">
        <v>60</v>
      </c>
      <c r="E5" s="7">
        <f t="shared" si="0"/>
        <v>2400000</v>
      </c>
      <c r="F5" s="17" t="s">
        <v>114</v>
      </c>
    </row>
    <row r="6" spans="1:6" ht="16" customHeight="1" x14ac:dyDescent="0.2">
      <c r="A6" s="12" t="s">
        <v>115</v>
      </c>
      <c r="B6" s="16">
        <f>Premissas!$B$5*Premissas!$B$9</f>
        <v>40000</v>
      </c>
      <c r="C6" s="23" t="s">
        <v>42</v>
      </c>
      <c r="D6" s="20">
        <v>25</v>
      </c>
      <c r="E6" s="24">
        <f t="shared" si="0"/>
        <v>1000000</v>
      </c>
      <c r="F6" s="14" t="s">
        <v>116</v>
      </c>
    </row>
    <row r="7" spans="1:6" ht="16" customHeight="1" x14ac:dyDescent="0.2">
      <c r="A7" s="15" t="s">
        <v>117</v>
      </c>
      <c r="B7" s="16">
        <f>Premissas!$B$17</f>
        <v>300</v>
      </c>
      <c r="C7" s="8" t="s">
        <v>118</v>
      </c>
      <c r="D7" s="20">
        <v>1151</v>
      </c>
      <c r="E7" s="7">
        <f t="shared" si="0"/>
        <v>345300</v>
      </c>
      <c r="F7" s="17" t="s">
        <v>119</v>
      </c>
    </row>
    <row r="8" spans="1:6" ht="16" customHeight="1" x14ac:dyDescent="0.2">
      <c r="A8" s="12" t="s">
        <v>120</v>
      </c>
      <c r="B8" s="16">
        <f>Premissas!$B$17</f>
        <v>300</v>
      </c>
      <c r="C8" s="23" t="s">
        <v>118</v>
      </c>
      <c r="D8" s="20">
        <v>1382</v>
      </c>
      <c r="E8" s="24">
        <f t="shared" si="0"/>
        <v>414600</v>
      </c>
      <c r="F8" s="14" t="s">
        <v>121</v>
      </c>
    </row>
    <row r="9" spans="1:6" ht="16" customHeight="1" x14ac:dyDescent="0.2">
      <c r="A9" s="15" t="s">
        <v>122</v>
      </c>
      <c r="B9" s="16">
        <f>Premissas!$B$17</f>
        <v>300</v>
      </c>
      <c r="C9" s="8" t="s">
        <v>118</v>
      </c>
      <c r="D9" s="20">
        <v>1711</v>
      </c>
      <c r="E9" s="7">
        <f t="shared" si="0"/>
        <v>513300</v>
      </c>
      <c r="F9" s="17" t="s">
        <v>123</v>
      </c>
    </row>
    <row r="10" spans="1:6" ht="16" customHeight="1" x14ac:dyDescent="0.2">
      <c r="A10" s="12" t="s">
        <v>124</v>
      </c>
      <c r="B10" s="16">
        <v>140</v>
      </c>
      <c r="C10" s="23" t="s">
        <v>125</v>
      </c>
      <c r="D10" s="20">
        <v>2500</v>
      </c>
      <c r="E10" s="24">
        <f t="shared" si="0"/>
        <v>350000</v>
      </c>
      <c r="F10" s="14" t="s">
        <v>126</v>
      </c>
    </row>
    <row r="11" spans="1:6" ht="16" customHeight="1" x14ac:dyDescent="0.2">
      <c r="A11" s="15" t="s">
        <v>127</v>
      </c>
      <c r="B11" s="16">
        <v>1</v>
      </c>
      <c r="C11" s="8" t="s">
        <v>128</v>
      </c>
      <c r="D11" s="20">
        <v>120000</v>
      </c>
      <c r="E11" s="7">
        <f t="shared" si="0"/>
        <v>120000</v>
      </c>
      <c r="F11" s="17" t="s">
        <v>129</v>
      </c>
    </row>
    <row r="12" spans="1:6" ht="16" customHeight="1" x14ac:dyDescent="0.2">
      <c r="A12" s="12" t="s">
        <v>130</v>
      </c>
      <c r="B12" s="16">
        <v>1</v>
      </c>
      <c r="C12" s="23" t="s">
        <v>128</v>
      </c>
      <c r="D12" s="20">
        <v>50000</v>
      </c>
      <c r="E12" s="24">
        <f t="shared" si="0"/>
        <v>50000</v>
      </c>
      <c r="F12" s="14" t="s">
        <v>131</v>
      </c>
    </row>
    <row r="13" spans="1:6" ht="16" customHeight="1" x14ac:dyDescent="0.2">
      <c r="A13" s="15" t="s">
        <v>132</v>
      </c>
      <c r="B13" s="16">
        <v>1</v>
      </c>
      <c r="C13" s="8" t="s">
        <v>128</v>
      </c>
      <c r="D13" s="20">
        <v>100000</v>
      </c>
      <c r="E13" s="7">
        <f t="shared" si="0"/>
        <v>100000</v>
      </c>
      <c r="F13" s="17" t="s">
        <v>133</v>
      </c>
    </row>
    <row r="14" spans="1:6" ht="18" customHeight="1" x14ac:dyDescent="0.2">
      <c r="A14" s="25" t="s">
        <v>134</v>
      </c>
      <c r="B14" s="67"/>
      <c r="C14" s="58"/>
      <c r="D14" s="58"/>
      <c r="E14" s="26">
        <f>SUM(E4:E13)</f>
        <v>5933200</v>
      </c>
      <c r="F14" s="58"/>
    </row>
    <row r="15" spans="1:6" ht="16" customHeight="1" x14ac:dyDescent="0.2">
      <c r="A15" s="2" t="s">
        <v>135</v>
      </c>
      <c r="B15" s="58"/>
      <c r="C15" s="58"/>
      <c r="D15" s="58"/>
      <c r="E15" s="27">
        <f>E14/Premissas!$B$17</f>
        <v>19777.333333333332</v>
      </c>
    </row>
  </sheetData>
  <mergeCells count="5">
    <mergeCell ref="A2:F2"/>
    <mergeCell ref="B14:D14"/>
    <mergeCell ref="A1:F1"/>
    <mergeCell ref="B15:D15"/>
    <mergeCell ref="F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zoomScale="150" zoomScaleNormal="150" workbookViewId="0">
      <selection activeCell="B13" sqref="B13"/>
    </sheetView>
  </sheetViews>
  <sheetFormatPr baseColWidth="10" defaultColWidth="8.83203125" defaultRowHeight="15" x14ac:dyDescent="0.2"/>
  <cols>
    <col min="1" max="1" width="50" customWidth="1"/>
    <col min="2" max="2" width="22" customWidth="1"/>
    <col min="3" max="3" width="16" customWidth="1"/>
    <col min="4" max="4" width="28" customWidth="1"/>
  </cols>
  <sheetData>
    <row r="1" spans="1:4" ht="26" customHeight="1" x14ac:dyDescent="0.2">
      <c r="A1" s="63" t="s">
        <v>136</v>
      </c>
      <c r="B1" s="58"/>
      <c r="C1" s="58"/>
      <c r="D1" s="58"/>
    </row>
    <row r="2" spans="1:4" ht="16" customHeight="1" x14ac:dyDescent="0.2">
      <c r="A2" s="1" t="s">
        <v>105</v>
      </c>
      <c r="B2" s="1" t="s">
        <v>137</v>
      </c>
      <c r="C2" s="1" t="s">
        <v>138</v>
      </c>
      <c r="D2" s="1" t="s">
        <v>110</v>
      </c>
    </row>
    <row r="3" spans="1:4" ht="18" customHeight="1" x14ac:dyDescent="0.2">
      <c r="A3" s="64" t="s">
        <v>139</v>
      </c>
      <c r="B3" s="58"/>
      <c r="C3" s="58"/>
      <c r="D3" s="58"/>
    </row>
    <row r="4" spans="1:4" ht="16" customHeight="1" x14ac:dyDescent="0.2">
      <c r="A4" s="28" t="s">
        <v>140</v>
      </c>
      <c r="B4" s="3">
        <f>Premissas!$B$24</f>
        <v>24000000</v>
      </c>
      <c r="C4" s="29">
        <f>1</f>
        <v>1</v>
      </c>
      <c r="D4" s="14" t="str">
        <f>Premissas!$B$17&amp;" lotes × "&amp;TEXT(Premissas!$B$22,"R$ #,##0")</f>
        <v>300 lotes × R$ 80000,0</v>
      </c>
    </row>
    <row r="5" spans="1:4" ht="18" customHeight="1" x14ac:dyDescent="0.2">
      <c r="A5" s="64" t="s">
        <v>141</v>
      </c>
      <c r="B5" s="58"/>
      <c r="C5" s="58"/>
      <c r="D5" s="58"/>
    </row>
    <row r="6" spans="1:4" ht="16" customHeight="1" x14ac:dyDescent="0.2">
      <c r="A6" s="12" t="s">
        <v>142</v>
      </c>
      <c r="B6" s="30">
        <f>Infraestrutura!E14</f>
        <v>5933200</v>
      </c>
      <c r="C6" s="31">
        <f>B6/B4</f>
        <v>0.24721666666666667</v>
      </c>
      <c r="D6" s="14" t="s">
        <v>143</v>
      </c>
    </row>
    <row r="7" spans="1:4" ht="16" customHeight="1" x14ac:dyDescent="0.2">
      <c r="A7" s="15" t="s">
        <v>144</v>
      </c>
      <c r="B7" s="32">
        <f>Premissas!$B$24*Premissas!$B$28</f>
        <v>1440000</v>
      </c>
      <c r="C7" s="33">
        <f>B7/B4</f>
        <v>0.06</v>
      </c>
      <c r="D7" s="17" t="str">
        <f>TEXT(Premissas!$B$28,"0%")&amp;" do VGV"</f>
        <v>6% do VGV</v>
      </c>
    </row>
    <row r="8" spans="1:4" ht="16" customHeight="1" x14ac:dyDescent="0.2">
      <c r="A8" s="12" t="s">
        <v>145</v>
      </c>
      <c r="B8" s="30">
        <f>Premissas!$B$24*Premissas!$B$29</f>
        <v>480000</v>
      </c>
      <c r="C8" s="31">
        <f>B8/B4</f>
        <v>0.02</v>
      </c>
      <c r="D8" s="14" t="str">
        <f>TEXT(Premissas!$B$29,"0%")&amp;" do VGV"</f>
        <v>2% do VGV</v>
      </c>
    </row>
    <row r="9" spans="1:4" ht="16" customHeight="1" x14ac:dyDescent="0.2">
      <c r="A9" s="15" t="s">
        <v>146</v>
      </c>
      <c r="B9" s="32">
        <f>Premissas!$B$24*Premissas!$B$30</f>
        <v>720000</v>
      </c>
      <c r="C9" s="33">
        <f>B9/B4</f>
        <v>0.03</v>
      </c>
      <c r="D9" s="17" t="str">
        <f>TEXT(Premissas!$B$30,"0%")&amp;" do VGV"</f>
        <v>3% do VGV</v>
      </c>
    </row>
    <row r="10" spans="1:4" ht="16" customHeight="1" x14ac:dyDescent="0.2">
      <c r="A10" s="12" t="s">
        <v>147</v>
      </c>
      <c r="B10" s="30">
        <f>Premissas!$B$24*Premissas!$B$31</f>
        <v>720000</v>
      </c>
      <c r="C10" s="31">
        <f>B10/B4</f>
        <v>0.03</v>
      </c>
      <c r="D10" s="14" t="str">
        <f>TEXT(Premissas!$B$31,"0%")&amp;" do VGV"</f>
        <v>3% do VGV</v>
      </c>
    </row>
    <row r="11" spans="1:4" ht="16" customHeight="1" x14ac:dyDescent="0.2">
      <c r="A11" s="15" t="s">
        <v>148</v>
      </c>
      <c r="B11" s="32">
        <f>Premissas!$B$24*Premissas!$B$32</f>
        <v>720000</v>
      </c>
      <c r="C11" s="33">
        <f>B11/B4</f>
        <v>0.03</v>
      </c>
      <c r="D11" s="17" t="str">
        <f>TEXT(Premissas!$B$32,"0%")&amp;" do VGV"</f>
        <v>3% do VGV</v>
      </c>
    </row>
    <row r="12" spans="1:4" ht="16" customHeight="1" x14ac:dyDescent="0.2">
      <c r="A12" s="28" t="s">
        <v>149</v>
      </c>
      <c r="B12" s="34">
        <f>SUM(B6:B11)</f>
        <v>10013200</v>
      </c>
      <c r="C12" s="35">
        <f>B12/B4</f>
        <v>0.41721666666666668</v>
      </c>
      <c r="D12" s="14"/>
    </row>
    <row r="13" spans="1:4" ht="16" customHeight="1" x14ac:dyDescent="0.2">
      <c r="A13" s="15" t="s">
        <v>150</v>
      </c>
      <c r="B13" s="36">
        <f>Premissas!$B$24*Premissas!$B$33</f>
        <v>1560000</v>
      </c>
      <c r="C13" s="37">
        <f>B13/B4</f>
        <v>6.5000000000000002E-2</v>
      </c>
      <c r="D13" s="17" t="str">
        <f>TEXT(Premissas!$B$33,"0.0%")&amp;" do VGV — validar com contador"</f>
        <v>07% do VGV — validar com contador</v>
      </c>
    </row>
    <row r="14" spans="1:4" ht="16" customHeight="1" x14ac:dyDescent="0.2">
      <c r="A14" s="28" t="s">
        <v>151</v>
      </c>
      <c r="B14" s="3">
        <f>B12+B13</f>
        <v>11573200</v>
      </c>
      <c r="C14" s="29">
        <f>B14/B4</f>
        <v>0.48221666666666668</v>
      </c>
      <c r="D14" s="14"/>
    </row>
    <row r="15" spans="1:4" ht="18" customHeight="1" x14ac:dyDescent="0.2">
      <c r="A15" s="64" t="s">
        <v>152</v>
      </c>
      <c r="B15" s="58"/>
      <c r="C15" s="58"/>
      <c r="D15" s="58"/>
    </row>
    <row r="16" spans="1:4" ht="16" customHeight="1" x14ac:dyDescent="0.2">
      <c r="A16" s="28" t="s">
        <v>153</v>
      </c>
      <c r="B16" s="34">
        <f>B4-B12</f>
        <v>13986800</v>
      </c>
      <c r="C16" s="35">
        <f>B16/B4</f>
        <v>0.58278333333333332</v>
      </c>
      <c r="D16" s="14" t="s">
        <v>154</v>
      </c>
    </row>
    <row r="17" spans="1:4" ht="16" customHeight="1" x14ac:dyDescent="0.2">
      <c r="A17" s="6" t="s">
        <v>155</v>
      </c>
      <c r="B17" s="34">
        <f>B4-B14</f>
        <v>12426800</v>
      </c>
      <c r="C17" s="35">
        <f>B17/B4</f>
        <v>0.51778333333333337</v>
      </c>
      <c r="D17" s="17" t="s">
        <v>156</v>
      </c>
    </row>
    <row r="18" spans="1:4" ht="18" customHeight="1" x14ac:dyDescent="0.2">
      <c r="A18" s="64" t="s">
        <v>157</v>
      </c>
      <c r="B18" s="58"/>
      <c r="C18" s="58"/>
      <c r="D18" s="58"/>
    </row>
    <row r="19" spans="1:4" ht="16" customHeight="1" x14ac:dyDescent="0.2">
      <c r="A19" s="6" t="s">
        <v>158</v>
      </c>
      <c r="B19" s="3">
        <f>B16*Premissas!$B$19 - B13*Premissas!$B$19</f>
        <v>8077420</v>
      </c>
      <c r="C19" s="29">
        <f>B19/B4</f>
        <v>0.33655916666666669</v>
      </c>
      <c r="D19" s="17" t="str">
        <f>TEXT(Premissas!$B$19,"0%")&amp;" do lucro − proporcional dos impostos"</f>
        <v>65% do lucro − proporcional dos impostos</v>
      </c>
    </row>
    <row r="20" spans="1:4" ht="16" customHeight="1" x14ac:dyDescent="0.2">
      <c r="A20" s="28" t="s">
        <v>159</v>
      </c>
      <c r="B20" s="24">
        <f>B16*Premissas!$B$20</f>
        <v>4895380</v>
      </c>
      <c r="C20" s="31">
        <f>B20/B4</f>
        <v>0.20397416666666668</v>
      </c>
      <c r="D20" s="14" t="str">
        <f>TEXT(Premissas!$B$20,"0%")&amp;" do lucro bruto"</f>
        <v>35% do lucro bruto</v>
      </c>
    </row>
    <row r="21" spans="1:4" ht="18" customHeight="1" x14ac:dyDescent="0.2">
      <c r="A21" s="64" t="s">
        <v>160</v>
      </c>
      <c r="B21" s="58"/>
      <c r="C21" s="58"/>
      <c r="D21" s="58"/>
    </row>
    <row r="22" spans="1:4" ht="16" customHeight="1" x14ac:dyDescent="0.2">
      <c r="A22" s="12" t="s">
        <v>161</v>
      </c>
      <c r="B22" s="22">
        <f>Premissas!$B$35</f>
        <v>1000000</v>
      </c>
      <c r="C22" s="38"/>
      <c r="D22" s="14" t="s">
        <v>162</v>
      </c>
    </row>
    <row r="23" spans="1:4" ht="16" customHeight="1" x14ac:dyDescent="0.2">
      <c r="A23" s="15" t="s">
        <v>163</v>
      </c>
      <c r="B23" s="30">
        <f>12*Premissas!$B$22</f>
        <v>960000</v>
      </c>
      <c r="C23" s="39"/>
      <c r="D23" s="17" t="s">
        <v>164</v>
      </c>
    </row>
    <row r="24" spans="1:4" ht="16" customHeight="1" x14ac:dyDescent="0.2">
      <c r="A24" s="12" t="s">
        <v>165</v>
      </c>
      <c r="B24" s="40" t="s">
        <v>166</v>
      </c>
      <c r="C24" s="38"/>
      <c r="D24" s="14" t="s">
        <v>23</v>
      </c>
    </row>
  </sheetData>
  <mergeCells count="6">
    <mergeCell ref="A1:D1"/>
    <mergeCell ref="A5:D5"/>
    <mergeCell ref="A18:D18"/>
    <mergeCell ref="A3:D3"/>
    <mergeCell ref="A21:D21"/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zoomScale="150" zoomScaleNormal="150" workbookViewId="0">
      <selection activeCell="B6" sqref="B6"/>
    </sheetView>
  </sheetViews>
  <sheetFormatPr baseColWidth="10" defaultColWidth="8.83203125" defaultRowHeight="15" x14ac:dyDescent="0.2"/>
  <cols>
    <col min="1" max="1" width="38" customWidth="1"/>
    <col min="2" max="4" width="20" customWidth="1"/>
  </cols>
  <sheetData>
    <row r="1" spans="1:4" ht="26" customHeight="1" x14ac:dyDescent="0.2">
      <c r="A1" s="63" t="s">
        <v>167</v>
      </c>
      <c r="B1" s="58"/>
      <c r="C1" s="58"/>
      <c r="D1" s="58"/>
    </row>
    <row r="2" spans="1:4" ht="15" customHeight="1" x14ac:dyDescent="0.2">
      <c r="A2" s="66" t="s">
        <v>168</v>
      </c>
      <c r="B2" s="58"/>
      <c r="C2" s="58"/>
      <c r="D2" s="58"/>
    </row>
    <row r="3" spans="1:4" ht="18" customHeight="1" x14ac:dyDescent="0.2">
      <c r="A3" s="1" t="s">
        <v>1</v>
      </c>
      <c r="B3" s="41" t="s">
        <v>169</v>
      </c>
      <c r="C3" s="42" t="s">
        <v>170</v>
      </c>
      <c r="D3" s="43" t="s">
        <v>171</v>
      </c>
    </row>
    <row r="4" spans="1:4" x14ac:dyDescent="0.2">
      <c r="A4" s="44" t="s">
        <v>69</v>
      </c>
      <c r="B4" s="45">
        <v>65000</v>
      </c>
      <c r="C4" s="46">
        <f>Premissas!$B$22</f>
        <v>80000</v>
      </c>
      <c r="D4" s="45">
        <v>95000</v>
      </c>
    </row>
    <row r="5" spans="1:4" ht="16" customHeight="1" x14ac:dyDescent="0.2">
      <c r="A5" s="15" t="s">
        <v>172</v>
      </c>
      <c r="B5" s="47">
        <v>6</v>
      </c>
      <c r="C5" s="47">
        <v>12</v>
      </c>
      <c r="D5" s="47">
        <v>18</v>
      </c>
    </row>
    <row r="6" spans="1:4" ht="16" customHeight="1" x14ac:dyDescent="0.2">
      <c r="A6" s="12" t="s">
        <v>173</v>
      </c>
      <c r="B6" s="48">
        <f>Premissas!$B$17</f>
        <v>300</v>
      </c>
      <c r="C6" s="48">
        <f>Premissas!$B$17</f>
        <v>300</v>
      </c>
      <c r="D6" s="48">
        <f>Premissas!$B$17</f>
        <v>300</v>
      </c>
    </row>
    <row r="7" spans="1:4" ht="16" customHeight="1" x14ac:dyDescent="0.2">
      <c r="A7" s="6" t="s">
        <v>74</v>
      </c>
      <c r="B7" s="49">
        <f>B4*B6</f>
        <v>19500000</v>
      </c>
      <c r="C7" s="50">
        <f>C4*C6</f>
        <v>24000000</v>
      </c>
      <c r="D7" s="51">
        <f>D4*D6</f>
        <v>28500000</v>
      </c>
    </row>
    <row r="8" spans="1:4" ht="16" customHeight="1" x14ac:dyDescent="0.2">
      <c r="A8" s="12" t="s">
        <v>174</v>
      </c>
      <c r="B8" s="52" t="str">
        <f ca="1">Infraestrutura!$E$14+B8*(Premissas!$B$28+Premissas!$B$29+Premissas!$B$30+Premissas!$B$31+Premissas!$B$32)</f>
        <v/>
      </c>
      <c r="C8" s="52" t="str">
        <f ca="1">Infraestrutura!$E$14+C8*(Premissas!$B$28+Premissas!$B$29+Premissas!$B$30+Premissas!$B$31+Premissas!$B$32)</f>
        <v/>
      </c>
      <c r="D8" s="52" t="str">
        <f ca="1">Infraestrutura!$E$14+D8*(Premissas!$B$28+Premissas!$B$29+Premissas!$B$30+Premissas!$B$31+Premissas!$B$32)</f>
        <v/>
      </c>
    </row>
    <row r="9" spans="1:4" ht="16" customHeight="1" x14ac:dyDescent="0.2">
      <c r="A9" s="6" t="s">
        <v>175</v>
      </c>
      <c r="B9" s="49" t="str">
        <f ca="1">B8-B9</f>
        <v/>
      </c>
      <c r="C9" s="50" t="str">
        <f ca="1">C8-C9</f>
        <v/>
      </c>
      <c r="D9" s="51" t="str">
        <f ca="1">D8-D9</f>
        <v/>
      </c>
    </row>
    <row r="10" spans="1:4" ht="16" customHeight="1" x14ac:dyDescent="0.2">
      <c r="A10" s="28" t="s">
        <v>14</v>
      </c>
      <c r="B10" s="53" t="str">
        <f ca="1">B10/B8</f>
        <v/>
      </c>
      <c r="C10" s="54" t="str">
        <f ca="1">C10/C8</f>
        <v/>
      </c>
      <c r="D10" s="55" t="str">
        <f ca="1">D10/D8</f>
        <v/>
      </c>
    </row>
    <row r="11" spans="1:4" ht="16" customHeight="1" x14ac:dyDescent="0.2">
      <c r="A11" s="6" t="s">
        <v>176</v>
      </c>
      <c r="B11" s="49" t="str">
        <f ca="1">B10*Premissas!$B$19</f>
        <v/>
      </c>
      <c r="C11" s="50" t="str">
        <f ca="1">C10*Premissas!$B$19</f>
        <v/>
      </c>
      <c r="D11" s="51" t="str">
        <f ca="1">D10*Premissas!$B$19</f>
        <v/>
      </c>
    </row>
    <row r="12" spans="1:4" ht="16" customHeight="1" x14ac:dyDescent="0.2">
      <c r="A12" s="12" t="s">
        <v>177</v>
      </c>
      <c r="B12" s="56">
        <f>Premissas!$B$17/B6</f>
        <v>1</v>
      </c>
      <c r="C12" s="56">
        <f>Premissas!$B$17/C6</f>
        <v>1</v>
      </c>
      <c r="D12" s="56">
        <f>Premissas!$B$17/D6</f>
        <v>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Painel Executivo</vt:lpstr>
      <vt:lpstr>Premissas</vt:lpstr>
      <vt:lpstr>Infraestrutura</vt:lpstr>
      <vt:lpstr>Financeiro</vt:lpstr>
      <vt:lpstr>Cenários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Forx</cp:lastModifiedBy>
  <dcterms:created xsi:type="dcterms:W3CDTF">2026-04-13T21:28:28Z</dcterms:created>
  <dcterms:modified xsi:type="dcterms:W3CDTF">2026-07-13T19:02:45Z</dcterms:modified>
</cp:coreProperties>
</file>